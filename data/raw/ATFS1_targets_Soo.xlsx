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my X1\Desktop\Work in Progress COVID\ATFS-1 Micropublication\"/>
    </mc:Choice>
  </mc:AlternateContent>
  <xr:revisionPtr revIDLastSave="0" documentId="13_ncr:1_{94B66F17-BF65-41E2-8EB4-8895016E3371}" xr6:coauthVersionLast="47" xr6:coauthVersionMax="47" xr10:uidLastSave="{00000000-0000-0000-0000-000000000000}"/>
  <bookViews>
    <workbookView xWindow="-110" yWindow="-110" windowWidth="19420" windowHeight="10420" xr2:uid="{A76AA99C-50B9-4362-A816-6584BECE0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F3" i="1"/>
  <c r="E3" i="1"/>
  <c r="D3" i="1"/>
  <c r="C3" i="1"/>
  <c r="H6" i="1"/>
  <c r="G6" i="1"/>
  <c r="F6" i="1"/>
  <c r="C6" i="1"/>
  <c r="C5" i="1"/>
  <c r="D5" i="1"/>
  <c r="E5" i="1"/>
  <c r="F5" i="1"/>
  <c r="G5" i="1"/>
  <c r="H5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D6" i="1"/>
  <c r="E6" i="1"/>
  <c r="H2" i="1"/>
  <c r="G2" i="1"/>
  <c r="F2" i="1"/>
  <c r="E2" i="1"/>
  <c r="D2" i="1"/>
  <c r="C2" i="1"/>
  <c r="J3" i="1" l="1"/>
  <c r="K3" i="1" s="1"/>
  <c r="J6" i="1"/>
  <c r="K6" i="1" s="1"/>
  <c r="J64" i="1"/>
  <c r="K64" i="1" s="1"/>
  <c r="J60" i="1"/>
  <c r="K60" i="1" s="1"/>
  <c r="J56" i="1"/>
  <c r="K56" i="1" s="1"/>
  <c r="J52" i="1"/>
  <c r="K52" i="1" s="1"/>
  <c r="J48" i="1"/>
  <c r="K48" i="1" s="1"/>
  <c r="J44" i="1"/>
  <c r="K44" i="1" s="1"/>
  <c r="J40" i="1"/>
  <c r="K40" i="1" s="1"/>
  <c r="J36" i="1"/>
  <c r="K36" i="1" s="1"/>
  <c r="J32" i="1"/>
  <c r="K32" i="1" s="1"/>
  <c r="J28" i="1"/>
  <c r="K28" i="1" s="1"/>
  <c r="J24" i="1"/>
  <c r="K24" i="1" s="1"/>
  <c r="J20" i="1"/>
  <c r="K20" i="1" s="1"/>
  <c r="J16" i="1"/>
  <c r="K16" i="1" s="1"/>
  <c r="J12" i="1"/>
  <c r="K12" i="1" s="1"/>
  <c r="J8" i="1"/>
  <c r="K8" i="1" s="1"/>
  <c r="J2" i="1"/>
  <c r="K2" i="1" s="1"/>
  <c r="J51" i="1"/>
  <c r="K51" i="1" s="1"/>
  <c r="J65" i="1"/>
  <c r="K65" i="1" s="1"/>
  <c r="J57" i="1"/>
  <c r="K57" i="1" s="1"/>
  <c r="J49" i="1"/>
  <c r="K49" i="1" s="1"/>
  <c r="J45" i="1"/>
  <c r="K45" i="1" s="1"/>
  <c r="J41" i="1"/>
  <c r="K41" i="1" s="1"/>
  <c r="J37" i="1"/>
  <c r="K37" i="1" s="1"/>
  <c r="J33" i="1"/>
  <c r="K33" i="1" s="1"/>
  <c r="J29" i="1"/>
  <c r="K29" i="1" s="1"/>
  <c r="J25" i="1"/>
  <c r="K25" i="1" s="1"/>
  <c r="J21" i="1"/>
  <c r="K21" i="1" s="1"/>
  <c r="J17" i="1"/>
  <c r="K17" i="1" s="1"/>
  <c r="J13" i="1"/>
  <c r="K13" i="1" s="1"/>
  <c r="J9" i="1"/>
  <c r="K9" i="1" s="1"/>
  <c r="J61" i="1"/>
  <c r="K61" i="1" s="1"/>
  <c r="J53" i="1"/>
  <c r="K53" i="1" s="1"/>
  <c r="J63" i="1"/>
  <c r="K63" i="1" s="1"/>
  <c r="J55" i="1"/>
  <c r="K55" i="1" s="1"/>
  <c r="J47" i="1"/>
  <c r="K47" i="1" s="1"/>
  <c r="J39" i="1"/>
  <c r="K39" i="1" s="1"/>
  <c r="J31" i="1"/>
  <c r="K31" i="1" s="1"/>
  <c r="J23" i="1"/>
  <c r="K23" i="1" s="1"/>
  <c r="J15" i="1"/>
  <c r="K15" i="1" s="1"/>
  <c r="J7" i="1"/>
  <c r="K7" i="1" s="1"/>
  <c r="J62" i="1"/>
  <c r="K62" i="1" s="1"/>
  <c r="J58" i="1"/>
  <c r="K58" i="1" s="1"/>
  <c r="J54" i="1"/>
  <c r="K54" i="1" s="1"/>
  <c r="J50" i="1"/>
  <c r="K50" i="1" s="1"/>
  <c r="J46" i="1"/>
  <c r="K46" i="1" s="1"/>
  <c r="J42" i="1"/>
  <c r="K42" i="1" s="1"/>
  <c r="J38" i="1"/>
  <c r="K38" i="1" s="1"/>
  <c r="J34" i="1"/>
  <c r="K34" i="1" s="1"/>
  <c r="J30" i="1"/>
  <c r="K30" i="1" s="1"/>
  <c r="J26" i="1"/>
  <c r="K26" i="1" s="1"/>
  <c r="J22" i="1"/>
  <c r="K22" i="1" s="1"/>
  <c r="J18" i="1"/>
  <c r="K18" i="1" s="1"/>
  <c r="J14" i="1"/>
  <c r="K14" i="1" s="1"/>
  <c r="J10" i="1"/>
  <c r="K10" i="1" s="1"/>
  <c r="J5" i="1"/>
  <c r="K5" i="1" s="1"/>
  <c r="J59" i="1"/>
  <c r="K59" i="1" s="1"/>
  <c r="J43" i="1"/>
  <c r="K43" i="1" s="1"/>
  <c r="J35" i="1"/>
  <c r="K35" i="1" s="1"/>
  <c r="J27" i="1"/>
  <c r="K27" i="1" s="1"/>
  <c r="J19" i="1"/>
  <c r="K19" i="1" s="1"/>
  <c r="J11" i="1"/>
  <c r="K11" i="1" s="1"/>
</calcChain>
</file>

<file path=xl/sharedStrings.xml><?xml version="1.0" encoding="utf-8"?>
<sst xmlns="http://schemas.openxmlformats.org/spreadsheetml/2006/main" count="327" uniqueCount="172">
  <si>
    <t>WT_4</t>
  </si>
  <si>
    <t>WT_5</t>
  </si>
  <si>
    <t>WT_6</t>
  </si>
  <si>
    <t>WT_7</t>
  </si>
  <si>
    <t>WT_8</t>
  </si>
  <si>
    <t>WT_9</t>
  </si>
  <si>
    <t>WT</t>
  </si>
  <si>
    <t>nuo-6</t>
  </si>
  <si>
    <t>nuo-6;atfs-1</t>
  </si>
  <si>
    <t>hsp-6</t>
  </si>
  <si>
    <t>C07G1.7</t>
  </si>
  <si>
    <t>srm-3</t>
  </si>
  <si>
    <t>cyp-14A4</t>
  </si>
  <si>
    <t>nhr-90</t>
  </si>
  <si>
    <t>clec-17</t>
  </si>
  <si>
    <t>C24B5.4</t>
  </si>
  <si>
    <t>F55G11.7</t>
  </si>
  <si>
    <t>F41C3.1</t>
  </si>
  <si>
    <t>C23H4.2</t>
  </si>
  <si>
    <t>F14F8.8</t>
  </si>
  <si>
    <t>R53.5</t>
  </si>
  <si>
    <t>R186.1</t>
  </si>
  <si>
    <t>ugt-50</t>
  </si>
  <si>
    <t>C37A5.7</t>
  </si>
  <si>
    <t>cyp-33C8</t>
  </si>
  <si>
    <t>F15B9.10</t>
  </si>
  <si>
    <t>cdr-2</t>
  </si>
  <si>
    <t>cyp-14A1</t>
  </si>
  <si>
    <t>F56C11.3</t>
  </si>
  <si>
    <t>ugt-19</t>
  </si>
  <si>
    <t>K09E9.1</t>
  </si>
  <si>
    <t>pcs-1</t>
  </si>
  <si>
    <t>C54F6.5</t>
  </si>
  <si>
    <t>sod-3</t>
  </si>
  <si>
    <t>M01F1.4</t>
  </si>
  <si>
    <t>ugt-62</t>
  </si>
  <si>
    <t>Y73F8A.27</t>
  </si>
  <si>
    <t>nhr-193</t>
  </si>
  <si>
    <t>dnj-10</t>
  </si>
  <si>
    <t>nhr-115</t>
  </si>
  <si>
    <t>Y47G7B.2</t>
  </si>
  <si>
    <t>DC2.5</t>
  </si>
  <si>
    <t>ugt-61</t>
  </si>
  <si>
    <t>C41G7.9</t>
  </si>
  <si>
    <t>clec-4</t>
  </si>
  <si>
    <t>F49H12.4</t>
  </si>
  <si>
    <t>lys-2</t>
  </si>
  <si>
    <t>C46A5.1</t>
  </si>
  <si>
    <t>F58B4.5</t>
  </si>
  <si>
    <t>F27D9.2</t>
  </si>
  <si>
    <t>T26F2.2</t>
  </si>
  <si>
    <t>nhr-210</t>
  </si>
  <si>
    <t>F22H10.2</t>
  </si>
  <si>
    <t>prx-19</t>
  </si>
  <si>
    <t>C35D10.5</t>
  </si>
  <si>
    <t>ugt-21</t>
  </si>
  <si>
    <t>C31H2.4</t>
  </si>
  <si>
    <t>H34I24.2</t>
  </si>
  <si>
    <t>clec-265</t>
  </si>
  <si>
    <t>coq-8</t>
  </si>
  <si>
    <t>haf-3</t>
  </si>
  <si>
    <t>W09D10.4</t>
  </si>
  <si>
    <t>Y51B9A.9</t>
  </si>
  <si>
    <t>F40F12.7</t>
  </si>
  <si>
    <t>clec-65</t>
  </si>
  <si>
    <t>coq-1</t>
  </si>
  <si>
    <t>tag-234</t>
  </si>
  <si>
    <t>nhr-65</t>
  </si>
  <si>
    <t>ymel-1</t>
  </si>
  <si>
    <t>D1054.5</t>
  </si>
  <si>
    <t>F22B3.7</t>
  </si>
  <si>
    <t>atfs-1(et15)</t>
  </si>
  <si>
    <t>atfs-1(et17)</t>
  </si>
  <si>
    <t>WT_1</t>
  </si>
  <si>
    <t>WT_2</t>
  </si>
  <si>
    <t>WT_3</t>
  </si>
  <si>
    <t>WT_10</t>
  </si>
  <si>
    <t>WT_11</t>
  </si>
  <si>
    <t>WT_12</t>
  </si>
  <si>
    <t>nuo-6_1</t>
  </si>
  <si>
    <t>nuo-6_2</t>
  </si>
  <si>
    <t>nuo-6_3</t>
  </si>
  <si>
    <t>nuo-6_4</t>
  </si>
  <si>
    <t>nuo-6_5</t>
  </si>
  <si>
    <t>nuo-6_6</t>
  </si>
  <si>
    <t>nuo-6;atfs-1_1</t>
  </si>
  <si>
    <t>nuo-6;atfs-1_2</t>
  </si>
  <si>
    <t>nuo-6;atfs-1_3</t>
  </si>
  <si>
    <t>atfs-1(et15)_1</t>
  </si>
  <si>
    <t>atfs-1(gk3094)_1</t>
  </si>
  <si>
    <t>atfs-1(gk3094)_2</t>
  </si>
  <si>
    <t>atfs-1(gk3094)_3</t>
  </si>
  <si>
    <t>atfs-1(gk3094)_4</t>
  </si>
  <si>
    <t>atfs-1(gk3094)_5</t>
  </si>
  <si>
    <t>atfs-1(gk3094)_6</t>
  </si>
  <si>
    <t>atfs-1(et15)_2</t>
  </si>
  <si>
    <t>atfs-1(et15)_4</t>
  </si>
  <si>
    <t>atfs-1(et15)_3</t>
  </si>
  <si>
    <t>atfs-1(et15)_5</t>
  </si>
  <si>
    <t>atfs-1(et17)_1</t>
  </si>
  <si>
    <t>atfs-1(et17)_2</t>
  </si>
  <si>
    <t>atfs-1(et17)_3</t>
  </si>
  <si>
    <t>atfs-1(et17)_4</t>
  </si>
  <si>
    <t>atfs-1(et17)_5</t>
  </si>
  <si>
    <t>atfs-1(et17)_6</t>
  </si>
  <si>
    <t>atfs-1(gk3094)</t>
  </si>
  <si>
    <t>Score</t>
  </si>
  <si>
    <t>Score/variability</t>
  </si>
  <si>
    <t>C24A11.9</t>
  </si>
  <si>
    <t>C35D10.4</t>
  </si>
  <si>
    <t>F22B7.5</t>
  </si>
  <si>
    <t>F57A10.3</t>
  </si>
  <si>
    <t>Y22F5A.5</t>
  </si>
  <si>
    <t>Y17D7A.3</t>
  </si>
  <si>
    <t>ZK488.2</t>
  </si>
  <si>
    <t>T27B7.4</t>
  </si>
  <si>
    <t>F54D5.1</t>
  </si>
  <si>
    <t>F54F2.8</t>
  </si>
  <si>
    <t>C08A9.1</t>
  </si>
  <si>
    <t>cest-8</t>
  </si>
  <si>
    <t>C33A12.6</t>
  </si>
  <si>
    <t>C54D10.1</t>
  </si>
  <si>
    <t>E03H4.10</t>
  </si>
  <si>
    <t>F35C5.8</t>
  </si>
  <si>
    <t>cbp-3</t>
  </si>
  <si>
    <t>F57G8.6</t>
  </si>
  <si>
    <t>F58G6.2</t>
  </si>
  <si>
    <t>K09A11.2</t>
  </si>
  <si>
    <t>M03C11.5</t>
  </si>
  <si>
    <t>M88.1</t>
  </si>
  <si>
    <t>R04D3.1</t>
  </si>
  <si>
    <t>T07C5.1</t>
  </si>
  <si>
    <t>Y38E10A.5</t>
  </si>
  <si>
    <t>F39G3.1</t>
  </si>
  <si>
    <t>F55C12.7</t>
  </si>
  <si>
    <t>K08B4.3</t>
  </si>
  <si>
    <t>M02F4.7</t>
  </si>
  <si>
    <t>R08F11.3</t>
  </si>
  <si>
    <t>R11G11.12</t>
  </si>
  <si>
    <t>tspo-1</t>
  </si>
  <si>
    <t>Gene name</t>
  </si>
  <si>
    <t>Gene sequence 
name</t>
  </si>
  <si>
    <t>Yes</t>
  </si>
  <si>
    <t>Greater than 150</t>
  </si>
  <si>
    <t>Greater than 200</t>
  </si>
  <si>
    <t>Greater than 500</t>
  </si>
  <si>
    <t>Greater than 1000</t>
  </si>
  <si>
    <t>Greater than 350</t>
  </si>
  <si>
    <t>350-500</t>
  </si>
  <si>
    <t>500-1000</t>
  </si>
  <si>
    <t>1000-5000</t>
  </si>
  <si>
    <t>5000-</t>
  </si>
  <si>
    <t>Greater than 5000</t>
  </si>
  <si>
    <t>150-200</t>
  </si>
  <si>
    <t>200-500</t>
  </si>
  <si>
    <t>1000-</t>
  </si>
  <si>
    <t>C37H5.8</t>
  </si>
  <si>
    <t>No</t>
  </si>
  <si>
    <t>hrg-9</t>
  </si>
  <si>
    <t>Greater than 15</t>
  </si>
  <si>
    <t>Top 5</t>
  </si>
  <si>
    <t>hsp-60</t>
  </si>
  <si>
    <t>Y22D7AL.5</t>
  </si>
  <si>
    <t>16-25</t>
  </si>
  <si>
    <t>26-38</t>
  </si>
  <si>
    <t>Raw Expression Data
as percentage of wild-type</t>
  </si>
  <si>
    <t>→</t>
  </si>
  <si>
    <t>Legend Columns C-H</t>
  </si>
  <si>
    <t>Legend Column J</t>
  </si>
  <si>
    <t>Legend Column K</t>
  </si>
  <si>
    <t>ATFS-1 bound 
in ChIP-seq</t>
  </si>
  <si>
    <r>
      <t xml:space="preserve">Significantly upregulated in </t>
    </r>
    <r>
      <rPr>
        <b/>
        <i/>
        <sz val="11"/>
        <color theme="1"/>
        <rFont val="Calibri"/>
        <family val="2"/>
        <scheme val="minor"/>
      </rPr>
      <t xml:space="preserve">isp-1 </t>
    </r>
    <r>
      <rPr>
        <b/>
        <sz val="11"/>
        <color theme="1"/>
        <rFont val="Calibri"/>
        <family val="2"/>
        <scheme val="minor"/>
      </rPr>
      <t>worms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</si>
</sst>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501A7"/>
        <bgColor indexed="64"/>
      </patternFill>
    </fill>
    <fill>
      <patternFill patternType="solid">
        <fgColor rgb="FF3732FC"/>
        <bgColor indexed="64"/>
      </patternFill>
    </fill>
    <fill>
      <patternFill patternType="solid">
        <fgColor rgb="FF6B7FF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D6D9"/>
        <bgColor indexed="64"/>
      </patternFill>
    </fill>
    <fill>
      <patternFill patternType="solid">
        <fgColor rgb="FFF28285"/>
        <bgColor indexed="64"/>
      </patternFill>
    </fill>
    <fill>
      <patternFill patternType="solid">
        <fgColor rgb="FFDD2F33"/>
        <bgColor indexed="64"/>
      </patternFill>
    </fill>
    <fill>
      <patternFill patternType="solid">
        <fgColor rgb="FF8F1D1D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1" fontId="0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4" fillId="11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 wrapText="1"/>
    </xf>
    <xf numFmtId="1" fontId="0" fillId="0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2">
    <dxf>
      <fill>
        <patternFill>
          <bgColor theme="4" tint="0.59996337778862885"/>
        </patternFill>
      </fill>
    </dxf>
    <dxf>
      <fill>
        <patternFill>
          <bgColor rgb="FF6B7FF9"/>
        </patternFill>
      </fill>
    </dxf>
    <dxf>
      <fill>
        <patternFill>
          <bgColor rgb="FF3732FC"/>
        </patternFill>
      </fill>
    </dxf>
    <dxf>
      <fill>
        <patternFill>
          <bgColor rgb="FF0501A7"/>
        </patternFill>
      </fill>
    </dxf>
    <dxf>
      <fill>
        <patternFill>
          <bgColor rgb="FFFAD6D9"/>
        </patternFill>
      </fill>
    </dxf>
    <dxf>
      <fill>
        <patternFill>
          <bgColor rgb="FFF28285"/>
        </patternFill>
      </fill>
    </dxf>
    <dxf>
      <fill>
        <patternFill>
          <bgColor rgb="FFDD2F33"/>
        </patternFill>
      </fill>
    </dxf>
    <dxf>
      <fill>
        <patternFill>
          <bgColor rgb="FF8F1D1D"/>
        </patternFill>
      </fill>
    </dxf>
    <dxf>
      <fill>
        <patternFill>
          <bgColor theme="4" tint="0.59996337778862885"/>
        </patternFill>
      </fill>
    </dxf>
    <dxf>
      <fill>
        <patternFill>
          <bgColor rgb="FF6B7FF9"/>
        </patternFill>
      </fill>
    </dxf>
    <dxf>
      <fill>
        <patternFill>
          <bgColor rgb="FF3732FC"/>
        </patternFill>
      </fill>
    </dxf>
    <dxf>
      <fill>
        <patternFill>
          <bgColor rgb="FF0501A7"/>
        </patternFill>
      </fill>
    </dxf>
    <dxf>
      <fill>
        <patternFill>
          <bgColor rgb="FF00B050"/>
        </patternFill>
      </fill>
    </dxf>
    <dxf>
      <fill>
        <patternFill>
          <bgColor rgb="FFFAD6D9"/>
        </patternFill>
      </fill>
    </dxf>
    <dxf>
      <fill>
        <patternFill>
          <bgColor rgb="FFF28285"/>
        </patternFill>
      </fill>
    </dxf>
    <dxf>
      <fill>
        <patternFill>
          <bgColor rgb="FFDD2F33"/>
        </patternFill>
      </fill>
    </dxf>
    <dxf>
      <fill>
        <patternFill>
          <bgColor rgb="FF8F1D1D"/>
        </patternFill>
      </fill>
    </dxf>
    <dxf>
      <fill>
        <patternFill>
          <bgColor theme="4" tint="0.59996337778862885"/>
        </patternFill>
      </fill>
    </dxf>
    <dxf>
      <fill>
        <patternFill>
          <bgColor rgb="FF6B7FF9"/>
        </patternFill>
      </fill>
    </dxf>
    <dxf>
      <fill>
        <patternFill>
          <bgColor rgb="FF3732FC"/>
        </patternFill>
      </fill>
    </dxf>
    <dxf>
      <fill>
        <patternFill>
          <bgColor rgb="FF0501A7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AD6D9"/>
      <color rgb="FF8F1D1D"/>
      <color rgb="FFDD2F33"/>
      <color rgb="FFF28285"/>
      <color rgb="FF0501A7"/>
      <color rgb="FF3732FC"/>
      <color rgb="FF6B7FF9"/>
      <color rgb="FF0066FF"/>
      <color rgb="FFF7B3BE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AD1C-BDDE-441E-8CB2-5DDF1A14C9FE}">
  <dimension ref="A1:BU71"/>
  <sheetViews>
    <sheetView tabSelected="1" topLeftCell="F1" zoomScale="90" zoomScaleNormal="90" workbookViewId="0">
      <pane ySplit="1" topLeftCell="A2" activePane="bottomLeft" state="frozen"/>
      <selection activeCell="U1" sqref="U1"/>
      <selection pane="bottomLeft" activeCell="L1" sqref="L1"/>
    </sheetView>
  </sheetViews>
  <sheetFormatPr defaultColWidth="16" defaultRowHeight="14.5" x14ac:dyDescent="0.35"/>
  <cols>
    <col min="1" max="2" width="16" style="5"/>
    <col min="3" max="10" width="16" style="1"/>
    <col min="11" max="11" width="19.54296875" style="1" customWidth="1"/>
    <col min="12" max="13" width="19.54296875" style="29" customWidth="1"/>
    <col min="14" max="14" width="16" style="1"/>
    <col min="15" max="15" width="23.7265625" style="1" customWidth="1"/>
    <col min="16" max="16384" width="16" style="1"/>
  </cols>
  <sheetData>
    <row r="1" spans="1:73" s="7" customFormat="1" ht="43.5" x14ac:dyDescent="0.35">
      <c r="A1" s="7" t="s">
        <v>140</v>
      </c>
      <c r="B1" s="8" t="s">
        <v>141</v>
      </c>
      <c r="C1" s="7" t="s">
        <v>6</v>
      </c>
      <c r="D1" s="7" t="s">
        <v>105</v>
      </c>
      <c r="E1" s="7" t="s">
        <v>7</v>
      </c>
      <c r="F1" s="7" t="s">
        <v>8</v>
      </c>
      <c r="G1" s="7" t="s">
        <v>71</v>
      </c>
      <c r="H1" s="7" t="s">
        <v>72</v>
      </c>
      <c r="J1" s="7" t="s">
        <v>106</v>
      </c>
      <c r="K1" s="7" t="s">
        <v>107</v>
      </c>
      <c r="L1" s="8" t="s">
        <v>170</v>
      </c>
      <c r="M1" s="30" t="s">
        <v>171</v>
      </c>
      <c r="O1" s="8" t="s">
        <v>165</v>
      </c>
      <c r="P1" s="32" t="s">
        <v>166</v>
      </c>
      <c r="Q1" s="7" t="s">
        <v>73</v>
      </c>
      <c r="R1" s="7" t="s">
        <v>74</v>
      </c>
      <c r="S1" s="7" t="s">
        <v>75</v>
      </c>
      <c r="T1" s="7" t="s">
        <v>0</v>
      </c>
      <c r="U1" s="7" t="s">
        <v>1</v>
      </c>
      <c r="V1" s="7" t="s">
        <v>2</v>
      </c>
      <c r="W1" s="7" t="s">
        <v>3</v>
      </c>
      <c r="X1" s="7" t="s">
        <v>4</v>
      </c>
      <c r="Y1" s="7" t="s">
        <v>5</v>
      </c>
      <c r="Z1" s="7" t="s">
        <v>76</v>
      </c>
      <c r="AA1" s="7" t="s">
        <v>77</v>
      </c>
      <c r="AB1" s="7" t="s">
        <v>78</v>
      </c>
      <c r="AD1" s="7" t="s">
        <v>89</v>
      </c>
      <c r="AE1" s="7" t="s">
        <v>90</v>
      </c>
      <c r="AF1" s="7" t="s">
        <v>91</v>
      </c>
      <c r="AG1" s="7" t="s">
        <v>92</v>
      </c>
      <c r="AH1" s="7" t="s">
        <v>93</v>
      </c>
      <c r="AI1" s="7" t="s">
        <v>94</v>
      </c>
      <c r="AK1" s="7" t="s">
        <v>79</v>
      </c>
      <c r="AL1" s="7" t="s">
        <v>80</v>
      </c>
      <c r="AM1" s="7" t="s">
        <v>81</v>
      </c>
      <c r="AN1" s="7" t="s">
        <v>82</v>
      </c>
      <c r="AO1" s="7" t="s">
        <v>83</v>
      </c>
      <c r="AP1" s="7" t="s">
        <v>84</v>
      </c>
      <c r="AR1" s="7" t="s">
        <v>85</v>
      </c>
      <c r="AS1" s="7" t="s">
        <v>86</v>
      </c>
      <c r="AT1" s="7" t="s">
        <v>87</v>
      </c>
      <c r="AV1" s="7" t="s">
        <v>88</v>
      </c>
      <c r="AW1" s="7" t="s">
        <v>95</v>
      </c>
      <c r="AX1" s="7" t="s">
        <v>97</v>
      </c>
      <c r="AY1" s="7" t="s">
        <v>96</v>
      </c>
      <c r="AZ1" s="7" t="s">
        <v>98</v>
      </c>
      <c r="BB1" s="7" t="s">
        <v>99</v>
      </c>
      <c r="BC1" s="7" t="s">
        <v>100</v>
      </c>
      <c r="BD1" s="7" t="s">
        <v>101</v>
      </c>
      <c r="BE1" s="7" t="s">
        <v>102</v>
      </c>
      <c r="BF1" s="7" t="s">
        <v>103</v>
      </c>
      <c r="BG1" s="7" t="s">
        <v>104</v>
      </c>
    </row>
    <row r="2" spans="1:73" x14ac:dyDescent="0.35">
      <c r="A2" s="6" t="s">
        <v>9</v>
      </c>
      <c r="B2" s="6" t="s">
        <v>156</v>
      </c>
      <c r="C2" s="2">
        <f>AVERAGE(Q2:AB2)</f>
        <v>100</v>
      </c>
      <c r="D2" s="2">
        <f>AVERAGE(AD2:AI2)</f>
        <v>85.941404490905597</v>
      </c>
      <c r="E2" s="2">
        <f>AVERAGE(AK2:AP2)</f>
        <v>169.4660798531259</v>
      </c>
      <c r="F2" s="2">
        <f>AVERAGE(AR2:AT2)</f>
        <v>75.267914609988338</v>
      </c>
      <c r="G2" s="3">
        <f>AVERAGE(AV2:AZ2)</f>
        <v>201.45451336954335</v>
      </c>
      <c r="H2" s="3">
        <f>AVERAGE(BB2:BG2)</f>
        <v>205.01239542471657</v>
      </c>
      <c r="I2" s="3"/>
      <c r="J2" s="23">
        <f>E2+G2+H2-3*F2</f>
        <v>350.12924481742084</v>
      </c>
      <c r="K2" s="2">
        <f>J2/AVERAGE(STDEV(Q2:AB2),STDEV(AD2:AI2),STDEV(AR2:AT2), STDEV(AV2:AZ2), STDEV(BB2:BG2),STDEV(AK2:AP2))</f>
        <v>15.403507302164732</v>
      </c>
      <c r="L2" s="12" t="s">
        <v>142</v>
      </c>
      <c r="M2" s="12" t="s">
        <v>142</v>
      </c>
      <c r="Q2" s="2">
        <v>105.40415848140914</v>
      </c>
      <c r="R2" s="2">
        <v>86.269062155209951</v>
      </c>
      <c r="S2" s="2">
        <v>108.32677936338091</v>
      </c>
      <c r="T2" s="2">
        <v>99.524683059996121</v>
      </c>
      <c r="U2" s="2">
        <v>83.60730411586691</v>
      </c>
      <c r="V2" s="2">
        <v>125.92530324164306</v>
      </c>
      <c r="W2" s="2">
        <v>92.463134897987558</v>
      </c>
      <c r="X2" s="2">
        <v>97.285271697222981</v>
      </c>
      <c r="Y2" s="2">
        <v>101.19430298728339</v>
      </c>
      <c r="Z2" s="2">
        <v>110.50570923005229</v>
      </c>
      <c r="AA2" s="2">
        <v>107.08171553302422</v>
      </c>
      <c r="AB2" s="2">
        <v>82.41257523692353</v>
      </c>
      <c r="AC2" s="2"/>
      <c r="AD2" s="2">
        <v>105.98446940681978</v>
      </c>
      <c r="AE2" s="2">
        <v>86.366513370296559</v>
      </c>
      <c r="AF2" s="2">
        <v>77.45556126265231</v>
      </c>
      <c r="AG2" s="2">
        <v>95.489462339567027</v>
      </c>
      <c r="AH2" s="2">
        <v>78.975900384862015</v>
      </c>
      <c r="AI2" s="2">
        <v>71.37652018123589</v>
      </c>
      <c r="AJ2" s="2"/>
      <c r="AK2" s="2">
        <v>158.5348581837855</v>
      </c>
      <c r="AL2" s="2">
        <v>108.82586249990305</v>
      </c>
      <c r="AM2" s="2">
        <v>254.615845467827</v>
      </c>
      <c r="AN2" s="2">
        <v>165.42123062755522</v>
      </c>
      <c r="AO2" s="2">
        <v>173.93272557035465</v>
      </c>
      <c r="AP2" s="2">
        <v>155.46595676933006</v>
      </c>
      <c r="AQ2" s="2"/>
      <c r="AR2" s="2">
        <v>86.088951079400431</v>
      </c>
      <c r="AS2" s="2">
        <v>77.810813789658198</v>
      </c>
      <c r="AT2" s="2">
        <v>61.903978960906379</v>
      </c>
      <c r="AU2" s="2"/>
      <c r="AV2" s="2">
        <v>178.95580509750999</v>
      </c>
      <c r="AW2" s="2">
        <v>227.47667013404018</v>
      </c>
      <c r="AX2" s="2">
        <v>230.70305072390153</v>
      </c>
      <c r="AY2" s="2">
        <v>195.25118969690905</v>
      </c>
      <c r="AZ2" s="2">
        <v>174.8858511953562</v>
      </c>
      <c r="BA2" s="2"/>
      <c r="BB2" s="2">
        <v>225.7593356066844</v>
      </c>
      <c r="BC2" s="2">
        <v>191.6231336035257</v>
      </c>
      <c r="BD2" s="2">
        <v>188.17233052379655</v>
      </c>
      <c r="BE2" s="2">
        <v>208.26715301357328</v>
      </c>
      <c r="BF2" s="2">
        <v>240.74689176782169</v>
      </c>
      <c r="BG2" s="2">
        <v>175.50552803289781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73" x14ac:dyDescent="0.35">
      <c r="A3" s="6" t="s">
        <v>161</v>
      </c>
      <c r="B3" s="6" t="s">
        <v>162</v>
      </c>
      <c r="C3" s="2">
        <f>AVERAGE(Q3:AB3)</f>
        <v>100.00000000000001</v>
      </c>
      <c r="D3" s="2">
        <f>AVERAGE(AD3:AI3)</f>
        <v>90.70086950688146</v>
      </c>
      <c r="E3" s="2">
        <f>AVERAGE(AK3:AP3)</f>
        <v>68.927616232161313</v>
      </c>
      <c r="F3" s="2">
        <f>AVERAGE(AR3:AT3)</f>
        <v>58.339898836313345</v>
      </c>
      <c r="G3" s="4">
        <f>AVERAGE(AV3:AZ3)</f>
        <v>86.369389586760803</v>
      </c>
      <c r="H3" s="4">
        <f>AVERAGE(BB3:BG3)</f>
        <v>88.166246978540869</v>
      </c>
      <c r="I3" s="3"/>
      <c r="J3" s="27">
        <f>E3+G3+H3-3*F3</f>
        <v>68.443556288522956</v>
      </c>
      <c r="K3" s="27">
        <f>J3/AVERAGE(STDEV(Q3:AB3),STDEV(AD3:AI3),STDEV(AR3:AT3), STDEV(AV3:AZ3), STDEV(BB3:BG3),STDEV(AK3:AP3))</f>
        <v>5.3539920437121582</v>
      </c>
      <c r="L3" s="12" t="s">
        <v>142</v>
      </c>
      <c r="M3" s="29" t="s">
        <v>157</v>
      </c>
      <c r="N3" s="29"/>
      <c r="O3" s="29"/>
      <c r="P3" s="29"/>
      <c r="Q3" s="2">
        <v>107.18955870764037</v>
      </c>
      <c r="R3" s="2">
        <v>85.249642276278308</v>
      </c>
      <c r="S3" s="2">
        <v>107.5607990160813</v>
      </c>
      <c r="T3" s="2">
        <v>104.54165158949864</v>
      </c>
      <c r="U3" s="2">
        <v>89.951866715908125</v>
      </c>
      <c r="V3" s="2">
        <v>111.16311166844314</v>
      </c>
      <c r="W3" s="2">
        <v>108.24131851216038</v>
      </c>
      <c r="X3" s="2">
        <v>105.24992336148938</v>
      </c>
      <c r="Y3" s="2">
        <v>80.852128152500384</v>
      </c>
      <c r="Z3" s="2">
        <v>112.51885976212391</v>
      </c>
      <c r="AA3" s="2">
        <v>106.15201963790723</v>
      </c>
      <c r="AB3" s="2">
        <v>81.329120599968846</v>
      </c>
      <c r="AC3" s="2"/>
      <c r="AD3" s="2">
        <v>120.37156441572884</v>
      </c>
      <c r="AE3" s="2">
        <v>94.743705888964627</v>
      </c>
      <c r="AF3" s="2">
        <v>84.252452675384475</v>
      </c>
      <c r="AG3" s="2">
        <v>94.849807471652113</v>
      </c>
      <c r="AH3" s="2">
        <v>77.458642711217365</v>
      </c>
      <c r="AI3" s="2">
        <v>72.529043878341355</v>
      </c>
      <c r="AJ3" s="2"/>
      <c r="AK3" s="2">
        <v>55.406145461812159</v>
      </c>
      <c r="AL3" s="2">
        <v>43.591311971014171</v>
      </c>
      <c r="AM3" s="2">
        <v>62.653277138728669</v>
      </c>
      <c r="AN3" s="2">
        <v>76.537748528877557</v>
      </c>
      <c r="AO3" s="2">
        <v>87.293822591316911</v>
      </c>
      <c r="AP3" s="2">
        <v>88.083391701218389</v>
      </c>
      <c r="AQ3" s="2"/>
      <c r="AR3" s="2">
        <v>67.563102239249631</v>
      </c>
      <c r="AS3" s="2">
        <v>60.480975191196848</v>
      </c>
      <c r="AT3" s="2">
        <v>46.975619078493565</v>
      </c>
      <c r="AU3" s="2"/>
      <c r="AV3" s="2">
        <v>79.074350774318731</v>
      </c>
      <c r="AW3" s="2">
        <v>92.92168814219859</v>
      </c>
      <c r="AX3" s="2">
        <v>95.924973867963203</v>
      </c>
      <c r="AY3" s="2">
        <v>88.640699114279855</v>
      </c>
      <c r="AZ3" s="2">
        <v>75.285236035043624</v>
      </c>
      <c r="BA3" s="2"/>
      <c r="BB3" s="2">
        <v>103.75655276437841</v>
      </c>
      <c r="BC3" s="2">
        <v>85.077639745477981</v>
      </c>
      <c r="BD3" s="2">
        <v>88.814925778294338</v>
      </c>
      <c r="BE3" s="2">
        <v>91.41018509208034</v>
      </c>
      <c r="BF3" s="2">
        <v>87.967414830134047</v>
      </c>
      <c r="BG3" s="2">
        <v>71.970763660880138</v>
      </c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x14ac:dyDescent="0.35">
      <c r="L4" s="1"/>
    </row>
    <row r="5" spans="1:73" x14ac:dyDescent="0.35">
      <c r="A5" s="1" t="s">
        <v>10</v>
      </c>
      <c r="B5" s="1" t="s">
        <v>10</v>
      </c>
      <c r="C5" s="2">
        <f t="shared" ref="C5:C37" si="0">AVERAGE(Q5:AB5)</f>
        <v>100</v>
      </c>
      <c r="D5" s="3">
        <f t="shared" ref="D5:D37" si="1">AVERAGE(AD5:AI5)</f>
        <v>1062.3728846387028</v>
      </c>
      <c r="E5" s="3">
        <f t="shared" ref="E5:E37" si="2">AVERAGE(AK5:AP5)</f>
        <v>29892.091139327356</v>
      </c>
      <c r="F5" s="2">
        <f t="shared" ref="F5:F37" si="3">AVERAGE(AR5:AT5)</f>
        <v>101.11767838736434</v>
      </c>
      <c r="G5" s="3">
        <f t="shared" ref="G5:G37" si="4">AVERAGE(AV5:AZ5)</f>
        <v>106128.48851742872</v>
      </c>
      <c r="H5" s="3">
        <f t="shared" ref="H5:H37" si="5">AVERAGE(BB5:BG5)</f>
        <v>83165.128849891524</v>
      </c>
      <c r="I5" s="3"/>
      <c r="J5" s="3">
        <f t="shared" ref="J5:J37" si="6">E5+G5+H5-3*F5</f>
        <v>218882.35547148553</v>
      </c>
      <c r="K5" s="2">
        <f t="shared" ref="K5:K37" si="7">J5/AVERAGE(STDEV(Q5:AB5),STDEV(AD5:AI5),STDEV(AR5:AT5), STDEV(AV5:AZ5), STDEV(BB5:BG5),STDEV(AK5:AP5))</f>
        <v>37.700042770962035</v>
      </c>
      <c r="L5" s="1" t="s">
        <v>157</v>
      </c>
      <c r="M5" s="12" t="s">
        <v>142</v>
      </c>
      <c r="Q5" s="2">
        <v>68.57384657562821</v>
      </c>
      <c r="R5" s="2">
        <v>125.61886566253219</v>
      </c>
      <c r="S5" s="2">
        <v>105.80728776183959</v>
      </c>
      <c r="T5" s="2">
        <v>178.18057136068649</v>
      </c>
      <c r="U5" s="2">
        <v>0</v>
      </c>
      <c r="V5" s="2">
        <v>0</v>
      </c>
      <c r="W5" s="2">
        <v>180.6371417900053</v>
      </c>
      <c r="X5" s="2">
        <v>160.63903599741718</v>
      </c>
      <c r="Y5" s="2">
        <v>80.543250851891031</v>
      </c>
      <c r="Z5" s="2">
        <v>86.197979682206906</v>
      </c>
      <c r="AA5" s="2">
        <v>75.240599201659734</v>
      </c>
      <c r="AB5" s="2">
        <v>138.56142111613337</v>
      </c>
      <c r="AC5" s="2"/>
      <c r="AD5" s="2">
        <v>764.11394289520615</v>
      </c>
      <c r="AE5" s="2">
        <v>465.20000284018857</v>
      </c>
      <c r="AF5" s="2">
        <v>367.76854854596121</v>
      </c>
      <c r="AG5" s="2">
        <v>2468.4052253675618</v>
      </c>
      <c r="AH5" s="2">
        <v>1267.9614449811093</v>
      </c>
      <c r="AI5" s="2">
        <v>1040.7881432021902</v>
      </c>
      <c r="AJ5" s="2"/>
      <c r="AK5" s="2">
        <v>39659.241966404072</v>
      </c>
      <c r="AL5" s="2">
        <v>18486.498706434075</v>
      </c>
      <c r="AM5" s="2">
        <v>19030.217793895277</v>
      </c>
      <c r="AN5" s="2">
        <v>36231.215561440375</v>
      </c>
      <c r="AO5" s="2">
        <v>38024.299476064421</v>
      </c>
      <c r="AP5" s="2">
        <v>27921.073331725904</v>
      </c>
      <c r="AQ5" s="2"/>
      <c r="AR5" s="2">
        <v>42.4864834828333</v>
      </c>
      <c r="AS5" s="2">
        <v>153.37825224309719</v>
      </c>
      <c r="AT5" s="2">
        <v>107.48829943616252</v>
      </c>
      <c r="AU5" s="2"/>
      <c r="AV5" s="2">
        <v>98330.741138543483</v>
      </c>
      <c r="AW5" s="2">
        <v>97522.541561031961</v>
      </c>
      <c r="AX5" s="2">
        <v>133682.52216481106</v>
      </c>
      <c r="AY5" s="2">
        <v>107757.74695417048</v>
      </c>
      <c r="AZ5" s="2">
        <v>93348.890768586687</v>
      </c>
      <c r="BA5" s="2"/>
      <c r="BB5" s="2">
        <v>94383.132104372256</v>
      </c>
      <c r="BC5" s="2">
        <v>77751.424589447881</v>
      </c>
      <c r="BD5" s="2">
        <v>72101.528049124914</v>
      </c>
      <c r="BE5" s="2">
        <v>87614.2198009985</v>
      </c>
      <c r="BF5" s="2">
        <v>87701.434773418965</v>
      </c>
      <c r="BG5" s="2">
        <v>79439.033781986611</v>
      </c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x14ac:dyDescent="0.35">
      <c r="A6" s="1" t="s">
        <v>70</v>
      </c>
      <c r="B6" s="1" t="s">
        <v>70</v>
      </c>
      <c r="C6" s="2">
        <f>AVERAGE(Q6:AB6)</f>
        <v>100</v>
      </c>
      <c r="D6" s="2">
        <f>AVERAGE(AD6:AI6)</f>
        <v>852.50609531695898</v>
      </c>
      <c r="E6" s="3">
        <f>AVERAGE(AK6:AP6)</f>
        <v>93548.584256777845</v>
      </c>
      <c r="F6" s="2">
        <f>AVERAGE(AR6:AT6)</f>
        <v>93.281343066855968</v>
      </c>
      <c r="G6" s="3">
        <f t="shared" ref="G6" si="8">AVERAGE(AV6:AZ6)</f>
        <v>85402.518723206056</v>
      </c>
      <c r="H6" s="3">
        <f t="shared" ref="H6" si="9">AVERAGE(BB6:BG6)</f>
        <v>15505.1891605113</v>
      </c>
      <c r="I6" s="2"/>
      <c r="J6" s="3">
        <f t="shared" ref="J6" si="10">E6+G6+H6-3*F6</f>
        <v>194176.44811129465</v>
      </c>
      <c r="K6" s="27">
        <f t="shared" ref="K6" si="11">J6/AVERAGE(STDEV(Q6:AB6),STDEV(AD6:AI6),STDEV(AR6:AT6), STDEV(AV6:AZ6), STDEV(BB6:BG6),STDEV(AK6:AP6))</f>
        <v>14.41725852137972</v>
      </c>
      <c r="L6" s="2" t="s">
        <v>157</v>
      </c>
      <c r="M6" s="12" t="s">
        <v>142</v>
      </c>
      <c r="Q6" s="2">
        <v>0</v>
      </c>
      <c r="R6" s="2">
        <v>0</v>
      </c>
      <c r="S6" s="2">
        <v>0</v>
      </c>
      <c r="T6" s="2">
        <v>562.12413167534419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169.54111754020366</v>
      </c>
      <c r="AB6" s="2">
        <v>468.33475078445213</v>
      </c>
      <c r="AC6" s="2"/>
      <c r="AD6" s="2">
        <v>1347.4901196725868</v>
      </c>
      <c r="AE6" s="2">
        <v>580.56606736484616</v>
      </c>
      <c r="AF6" s="2">
        <v>562.89062163181791</v>
      </c>
      <c r="AG6" s="2">
        <v>595.939266834053</v>
      </c>
      <c r="AH6" s="2">
        <v>1318.6704312098666</v>
      </c>
      <c r="AI6" s="2">
        <v>709.48006518858381</v>
      </c>
      <c r="AJ6" s="2"/>
      <c r="AK6" s="2">
        <v>84121.211007785954</v>
      </c>
      <c r="AL6" s="2">
        <v>31217.578677499845</v>
      </c>
      <c r="AM6" s="2">
        <v>75874.397786084694</v>
      </c>
      <c r="AN6" s="2">
        <v>147124.56126743974</v>
      </c>
      <c r="AO6" s="2">
        <v>165615.13932518044</v>
      </c>
      <c r="AP6" s="2">
        <v>57338.617476676467</v>
      </c>
      <c r="AQ6" s="2"/>
      <c r="AR6" s="2">
        <v>143.60343949535076</v>
      </c>
      <c r="AS6" s="2">
        <v>0</v>
      </c>
      <c r="AT6" s="2">
        <v>136.2405897052171</v>
      </c>
      <c r="AU6" s="2"/>
      <c r="AV6" s="2">
        <v>59030.767277580417</v>
      </c>
      <c r="AW6" s="2">
        <v>63320.107668447556</v>
      </c>
      <c r="AX6" s="2">
        <v>113720.84691164456</v>
      </c>
      <c r="AY6" s="2">
        <v>92654.826969720001</v>
      </c>
      <c r="AZ6" s="2">
        <v>98286.044788637751</v>
      </c>
      <c r="BA6" s="2"/>
      <c r="BB6" s="2">
        <v>13287.339147678647</v>
      </c>
      <c r="BC6" s="2">
        <v>18395.276458751567</v>
      </c>
      <c r="BD6" s="2">
        <v>19342.850130238752</v>
      </c>
      <c r="BE6" s="2">
        <v>10588.028992927861</v>
      </c>
      <c r="BF6" s="2">
        <v>10967.557999870634</v>
      </c>
      <c r="BG6" s="2">
        <v>20450.082233600344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x14ac:dyDescent="0.35">
      <c r="A7" s="1" t="s">
        <v>12</v>
      </c>
      <c r="B7" s="1" t="s">
        <v>130</v>
      </c>
      <c r="C7" s="2">
        <f t="shared" si="0"/>
        <v>100.00000000000001</v>
      </c>
      <c r="D7" s="2">
        <f t="shared" si="1"/>
        <v>93.948357767188142</v>
      </c>
      <c r="E7" s="3">
        <f t="shared" si="2"/>
        <v>11129.870179695075</v>
      </c>
      <c r="F7" s="2">
        <f t="shared" si="3"/>
        <v>62.735999707602936</v>
      </c>
      <c r="G7" s="3">
        <f t="shared" si="4"/>
        <v>4932.913679471565</v>
      </c>
      <c r="H7" s="3">
        <f t="shared" si="5"/>
        <v>1727.1255801318703</v>
      </c>
      <c r="I7" s="3"/>
      <c r="J7" s="3">
        <f t="shared" si="6"/>
        <v>17601.701440175701</v>
      </c>
      <c r="K7" s="2">
        <f t="shared" si="7"/>
        <v>12.860306529297967</v>
      </c>
      <c r="L7" s="12" t="s">
        <v>142</v>
      </c>
      <c r="M7" s="12" t="s">
        <v>142</v>
      </c>
      <c r="Q7" s="2">
        <v>127.38937212878599</v>
      </c>
      <c r="R7" s="2">
        <v>110.53974580580123</v>
      </c>
      <c r="S7" s="2">
        <v>62.070882065412782</v>
      </c>
      <c r="T7" s="2">
        <v>57.029904360658406</v>
      </c>
      <c r="U7" s="2">
        <v>158.32160360512827</v>
      </c>
      <c r="V7" s="2">
        <v>80.918012678659693</v>
      </c>
      <c r="W7" s="2">
        <v>187.90256555577429</v>
      </c>
      <c r="X7" s="2">
        <v>64.269274629388605</v>
      </c>
      <c r="Y7" s="2">
        <v>51.558639170390741</v>
      </c>
      <c r="Z7" s="2">
        <v>92.516353949178082</v>
      </c>
      <c r="AA7" s="2">
        <v>83.117069949035113</v>
      </c>
      <c r="AB7" s="2">
        <v>124.36657610178682</v>
      </c>
      <c r="AC7" s="2"/>
      <c r="AD7" s="2">
        <v>103.21927373486329</v>
      </c>
      <c r="AE7" s="2">
        <v>62.260828287403015</v>
      </c>
      <c r="AF7" s="2">
        <v>94.859734167447797</v>
      </c>
      <c r="AG7" s="2">
        <v>87.152207782649626</v>
      </c>
      <c r="AH7" s="2">
        <v>114.43662120175338</v>
      </c>
      <c r="AI7" s="2">
        <v>101.76148142901175</v>
      </c>
      <c r="AJ7" s="2"/>
      <c r="AK7" s="2">
        <v>8520.9538015440812</v>
      </c>
      <c r="AL7" s="2">
        <v>3068.9508362506745</v>
      </c>
      <c r="AM7" s="2">
        <v>7641.7312958808452</v>
      </c>
      <c r="AN7" s="2">
        <v>15349.965883304401</v>
      </c>
      <c r="AO7" s="2">
        <v>21237.585489842702</v>
      </c>
      <c r="AP7" s="2">
        <v>10960.033771347749</v>
      </c>
      <c r="AQ7" s="2"/>
      <c r="AR7" s="2">
        <v>48.40082095015002</v>
      </c>
      <c r="AS7" s="2">
        <v>56.317706793090572</v>
      </c>
      <c r="AT7" s="2">
        <v>83.489471379568229</v>
      </c>
      <c r="AU7" s="2"/>
      <c r="AV7" s="2">
        <v>6842.2549596410236</v>
      </c>
      <c r="AW7" s="2">
        <v>5059.8483166372334</v>
      </c>
      <c r="AX7" s="2">
        <v>5559.7344280008974</v>
      </c>
      <c r="AY7" s="2">
        <v>3431.4859301127158</v>
      </c>
      <c r="AZ7" s="2">
        <v>3771.2447629659537</v>
      </c>
      <c r="BA7" s="2"/>
      <c r="BB7" s="2">
        <v>1840.9132149641637</v>
      </c>
      <c r="BC7" s="2">
        <v>2125.9907584915682</v>
      </c>
      <c r="BD7" s="2">
        <v>1846.0098955007484</v>
      </c>
      <c r="BE7" s="2">
        <v>1161.3223286610357</v>
      </c>
      <c r="BF7" s="2">
        <v>1422.1109891323408</v>
      </c>
      <c r="BG7" s="2">
        <v>1966.4062940413637</v>
      </c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x14ac:dyDescent="0.35">
      <c r="A8" s="1" t="s">
        <v>14</v>
      </c>
      <c r="B8" s="1" t="s">
        <v>122</v>
      </c>
      <c r="C8" s="2">
        <f t="shared" si="0"/>
        <v>100</v>
      </c>
      <c r="D8" s="2">
        <f t="shared" si="1"/>
        <v>61.691131285108959</v>
      </c>
      <c r="E8" s="3">
        <f t="shared" si="2"/>
        <v>5072.1960036100645</v>
      </c>
      <c r="F8" s="2">
        <f t="shared" si="3"/>
        <v>175.99229892821026</v>
      </c>
      <c r="G8" s="3">
        <f t="shared" si="4"/>
        <v>8860.4406792366317</v>
      </c>
      <c r="H8" s="3">
        <f t="shared" si="5"/>
        <v>3679.2165164317116</v>
      </c>
      <c r="I8" s="3"/>
      <c r="J8" s="3">
        <f t="shared" si="6"/>
        <v>17083.876302493776</v>
      </c>
      <c r="K8" s="2">
        <f t="shared" si="7"/>
        <v>12.051701127914512</v>
      </c>
      <c r="L8" s="1" t="s">
        <v>157</v>
      </c>
      <c r="M8" s="12" t="s">
        <v>142</v>
      </c>
      <c r="Q8" s="2">
        <v>96.975215779840184</v>
      </c>
      <c r="R8" s="2">
        <v>203.0247842201598</v>
      </c>
      <c r="S8" s="2">
        <v>0</v>
      </c>
      <c r="T8" s="2">
        <v>118.35019865819744</v>
      </c>
      <c r="U8" s="2">
        <v>191.65639813630261</v>
      </c>
      <c r="V8" s="2">
        <v>65.303595134619599</v>
      </c>
      <c r="W8" s="2">
        <v>99.984907878556214</v>
      </c>
      <c r="X8" s="2">
        <v>44.457853619533196</v>
      </c>
      <c r="Y8" s="2">
        <v>80.247046572790879</v>
      </c>
      <c r="Z8" s="2">
        <v>67.560186836618854</v>
      </c>
      <c r="AA8" s="2">
        <v>61.780210917931214</v>
      </c>
      <c r="AB8" s="2">
        <v>170.65960224544992</v>
      </c>
      <c r="AC8" s="2"/>
      <c r="AD8" s="2">
        <v>61.37760636697783</v>
      </c>
      <c r="AE8" s="2">
        <v>79.333618182080855</v>
      </c>
      <c r="AF8" s="2">
        <v>34.185907065575421</v>
      </c>
      <c r="AG8" s="2">
        <v>69.26090529943437</v>
      </c>
      <c r="AH8" s="2">
        <v>39.409134284129848</v>
      </c>
      <c r="AI8" s="2">
        <v>86.579616512455445</v>
      </c>
      <c r="AJ8" s="2"/>
      <c r="AK8" s="2">
        <v>2867.7568128342323</v>
      </c>
      <c r="AL8" s="2">
        <v>10597.650703374869</v>
      </c>
      <c r="AM8" s="2">
        <v>3709.3297663210751</v>
      </c>
      <c r="AN8" s="2">
        <v>3839.1350390416656</v>
      </c>
      <c r="AO8" s="2">
        <v>4345.5090531258656</v>
      </c>
      <c r="AP8" s="2">
        <v>5073.7946469626804</v>
      </c>
      <c r="AQ8" s="2"/>
      <c r="AR8" s="2">
        <v>200.59299961513815</v>
      </c>
      <c r="AS8" s="2">
        <v>128.80145322457267</v>
      </c>
      <c r="AT8" s="2">
        <v>198.58244394491996</v>
      </c>
      <c r="AU8" s="2"/>
      <c r="AV8" s="2">
        <v>6027.5617115669693</v>
      </c>
      <c r="AW8" s="2">
        <v>5153.6436160726898</v>
      </c>
      <c r="AX8" s="2">
        <v>8827.8234560565288</v>
      </c>
      <c r="AY8" s="2">
        <v>12200.861413143029</v>
      </c>
      <c r="AZ8" s="2">
        <v>12092.31319934394</v>
      </c>
      <c r="BA8" s="2"/>
      <c r="BB8" s="2">
        <v>3267.3573353392067</v>
      </c>
      <c r="BC8" s="2">
        <v>7442.3995478415918</v>
      </c>
      <c r="BD8" s="2">
        <v>2764.0001151669508</v>
      </c>
      <c r="BE8" s="2">
        <v>909.73226419484388</v>
      </c>
      <c r="BF8" s="2">
        <v>2576.1652915065883</v>
      </c>
      <c r="BG8" s="2">
        <v>5115.6445445410873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x14ac:dyDescent="0.35">
      <c r="A9" s="1" t="s">
        <v>16</v>
      </c>
      <c r="B9" s="1" t="s">
        <v>16</v>
      </c>
      <c r="C9" s="2">
        <f t="shared" si="0"/>
        <v>100</v>
      </c>
      <c r="D9" s="2">
        <f t="shared" si="1"/>
        <v>53.628981225887649</v>
      </c>
      <c r="E9" s="3">
        <f t="shared" si="2"/>
        <v>1770.7677513750186</v>
      </c>
      <c r="F9" s="2">
        <f t="shared" si="3"/>
        <v>33.727205269736459</v>
      </c>
      <c r="G9" s="3">
        <f t="shared" si="4"/>
        <v>1994.1458513623081</v>
      </c>
      <c r="H9" s="3">
        <f t="shared" si="5"/>
        <v>1217.0679935202827</v>
      </c>
      <c r="I9" s="3"/>
      <c r="J9" s="3">
        <f t="shared" si="6"/>
        <v>4880.7999804483998</v>
      </c>
      <c r="K9" s="2">
        <f t="shared" si="7"/>
        <v>9.6034491164342288</v>
      </c>
      <c r="L9" s="1" t="s">
        <v>157</v>
      </c>
      <c r="M9" s="12" t="s">
        <v>142</v>
      </c>
      <c r="Q9" s="2">
        <v>179.60384400194735</v>
      </c>
      <c r="R9" s="2">
        <v>94.003481663783035</v>
      </c>
      <c r="S9" s="2">
        <v>26.392674334269572</v>
      </c>
      <c r="T9" s="2">
        <v>75.095283613115299</v>
      </c>
      <c r="U9" s="2">
        <v>243.21871424787682</v>
      </c>
      <c r="V9" s="2">
        <v>142.06724652351448</v>
      </c>
      <c r="W9" s="2">
        <v>38.065310067739325</v>
      </c>
      <c r="X9" s="2">
        <v>101.55344554775411</v>
      </c>
      <c r="Y9" s="2">
        <v>0</v>
      </c>
      <c r="Z9" s="2">
        <v>90.023020010863505</v>
      </c>
      <c r="AA9" s="2">
        <v>113.50358519992199</v>
      </c>
      <c r="AB9" s="2">
        <v>96.473394789214538</v>
      </c>
      <c r="AC9" s="2"/>
      <c r="AD9" s="2">
        <v>43.370736046705062</v>
      </c>
      <c r="AE9" s="2">
        <v>22.423535992803334</v>
      </c>
      <c r="AF9" s="2">
        <v>14.49389808061291</v>
      </c>
      <c r="AG9" s="2">
        <v>102.62023945643452</v>
      </c>
      <c r="AH9" s="2">
        <v>24.329350371637496</v>
      </c>
      <c r="AI9" s="2">
        <v>114.53612740713254</v>
      </c>
      <c r="AJ9" s="2"/>
      <c r="AK9" s="2">
        <v>1778.1519484640055</v>
      </c>
      <c r="AL9" s="2">
        <v>484.9323933327899</v>
      </c>
      <c r="AM9" s="2">
        <v>738.07369602301048</v>
      </c>
      <c r="AN9" s="2">
        <v>1923.1568985041952</v>
      </c>
      <c r="AO9" s="2">
        <v>4664.1589789953396</v>
      </c>
      <c r="AP9" s="2">
        <v>1036.1325929307709</v>
      </c>
      <c r="AQ9" s="2"/>
      <c r="AR9" s="2">
        <v>36.976519701770556</v>
      </c>
      <c r="AS9" s="2">
        <v>29.124440190566627</v>
      </c>
      <c r="AT9" s="2">
        <v>35.080655916872182</v>
      </c>
      <c r="AU9" s="2"/>
      <c r="AV9" s="2">
        <v>1157.1818457630038</v>
      </c>
      <c r="AW9" s="2">
        <v>795.40443797872138</v>
      </c>
      <c r="AX9" s="2">
        <v>3140.6111112219733</v>
      </c>
      <c r="AY9" s="2">
        <v>2330.7306679842936</v>
      </c>
      <c r="AZ9" s="2">
        <v>2546.8011938635482</v>
      </c>
      <c r="BA9" s="2"/>
      <c r="BB9" s="2">
        <v>1866.5822804855127</v>
      </c>
      <c r="BC9" s="2">
        <v>829.26715159407877</v>
      </c>
      <c r="BD9" s="2">
        <v>1474.2984788015797</v>
      </c>
      <c r="BE9" s="2">
        <v>879.06680439436059</v>
      </c>
      <c r="BF9" s="2">
        <v>869.75195423413606</v>
      </c>
      <c r="BG9" s="2">
        <v>1383.441291612028</v>
      </c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x14ac:dyDescent="0.35">
      <c r="A10" s="1" t="s">
        <v>17</v>
      </c>
      <c r="B10" s="1" t="s">
        <v>17</v>
      </c>
      <c r="C10" s="2">
        <f t="shared" si="0"/>
        <v>100</v>
      </c>
      <c r="D10" s="2">
        <f t="shared" si="1"/>
        <v>121.02324246988736</v>
      </c>
      <c r="E10" s="3">
        <f t="shared" si="2"/>
        <v>2025.3789052348075</v>
      </c>
      <c r="F10" s="2">
        <f t="shared" si="3"/>
        <v>161.23440182541597</v>
      </c>
      <c r="G10" s="3">
        <f t="shared" si="4"/>
        <v>1415.582018912758</v>
      </c>
      <c r="H10" s="3">
        <f t="shared" si="5"/>
        <v>582.60521827813591</v>
      </c>
      <c r="I10" s="3"/>
      <c r="J10" s="3">
        <f t="shared" si="6"/>
        <v>3539.8629369494533</v>
      </c>
      <c r="K10" s="24">
        <f t="shared" si="7"/>
        <v>20.506806582045584</v>
      </c>
      <c r="L10" s="1" t="s">
        <v>157</v>
      </c>
      <c r="M10" s="12" t="s">
        <v>142</v>
      </c>
      <c r="Q10" s="2">
        <v>56.104781090348062</v>
      </c>
      <c r="R10" s="2">
        <v>128.4713362083566</v>
      </c>
      <c r="S10" s="2">
        <v>115.42388270129535</v>
      </c>
      <c r="T10" s="2">
        <v>71.892810876321562</v>
      </c>
      <c r="U10" s="2">
        <v>88.703444141151053</v>
      </c>
      <c r="V10" s="2">
        <v>90.672482519270417</v>
      </c>
      <c r="W10" s="2">
        <v>24.294664999623443</v>
      </c>
      <c r="X10" s="2">
        <v>194.44530477353234</v>
      </c>
      <c r="Y10" s="2">
        <v>129.99129269010123</v>
      </c>
      <c r="Z10" s="2">
        <v>55.005256169421962</v>
      </c>
      <c r="AA10" s="2">
        <v>136.92612292669548</v>
      </c>
      <c r="AB10" s="2">
        <v>108.06862090388255</v>
      </c>
      <c r="AC10" s="2"/>
      <c r="AD10" s="2">
        <v>116.60041135430751</v>
      </c>
      <c r="AE10" s="2">
        <v>150.71184853557651</v>
      </c>
      <c r="AF10" s="2">
        <v>97.415598187390486</v>
      </c>
      <c r="AG10" s="2">
        <v>28.049512744949645</v>
      </c>
      <c r="AH10" s="2">
        <v>133.00035683804902</v>
      </c>
      <c r="AI10" s="2">
        <v>200.36172715905107</v>
      </c>
      <c r="AJ10" s="2"/>
      <c r="AK10" s="2">
        <v>2065.4838384256427</v>
      </c>
      <c r="AL10" s="2">
        <v>1918.909215231037</v>
      </c>
      <c r="AM10" s="2">
        <v>1758.6444225257144</v>
      </c>
      <c r="AN10" s="2">
        <v>1939.3372853711669</v>
      </c>
      <c r="AO10" s="2">
        <v>2060.886362214871</v>
      </c>
      <c r="AP10" s="2">
        <v>2409.0123076404125</v>
      </c>
      <c r="AQ10" s="2"/>
      <c r="AR10" s="2">
        <v>132.54643724235856</v>
      </c>
      <c r="AS10" s="2">
        <v>146.81220058556571</v>
      </c>
      <c r="AT10" s="2">
        <v>204.34456764832365</v>
      </c>
      <c r="AU10" s="2"/>
      <c r="AV10" s="2">
        <v>1364.4147764256954</v>
      </c>
      <c r="AW10" s="2">
        <v>597.87858960657968</v>
      </c>
      <c r="AX10" s="2">
        <v>1649.5381345444032</v>
      </c>
      <c r="AY10" s="2">
        <v>2206.4235084333545</v>
      </c>
      <c r="AZ10" s="2">
        <v>1259.6550855537578</v>
      </c>
      <c r="BA10" s="2"/>
      <c r="BB10" s="2">
        <v>724.15314156390127</v>
      </c>
      <c r="BC10" s="2">
        <v>612.61134652974636</v>
      </c>
      <c r="BD10" s="2">
        <v>492.52455903925892</v>
      </c>
      <c r="BE10" s="2">
        <v>587.34645178814412</v>
      </c>
      <c r="BF10" s="2">
        <v>597.72626352192958</v>
      </c>
      <c r="BG10" s="2">
        <v>481.26954722583537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x14ac:dyDescent="0.35">
      <c r="A11" s="1" t="s">
        <v>19</v>
      </c>
      <c r="B11" s="1" t="s">
        <v>19</v>
      </c>
      <c r="C11" s="2">
        <f t="shared" si="0"/>
        <v>100</v>
      </c>
      <c r="D11" s="4">
        <f t="shared" si="1"/>
        <v>221.21194070435033</v>
      </c>
      <c r="E11" s="3">
        <f t="shared" si="2"/>
        <v>1109.6868790265689</v>
      </c>
      <c r="F11" s="2">
        <f t="shared" si="3"/>
        <v>121.83643819061575</v>
      </c>
      <c r="G11" s="3">
        <f t="shared" si="4"/>
        <v>1878.3327758138907</v>
      </c>
      <c r="H11" s="3">
        <f t="shared" si="5"/>
        <v>655.27090648430647</v>
      </c>
      <c r="I11" s="3"/>
      <c r="J11" s="3">
        <f t="shared" si="6"/>
        <v>3277.7812467529188</v>
      </c>
      <c r="K11" s="2">
        <f t="shared" si="7"/>
        <v>11.995962605280655</v>
      </c>
      <c r="L11" s="1" t="s">
        <v>157</v>
      </c>
      <c r="M11" s="12" t="s">
        <v>142</v>
      </c>
      <c r="Q11" s="2">
        <v>82.337890240318018</v>
      </c>
      <c r="R11" s="2">
        <v>158.37454851987974</v>
      </c>
      <c r="S11" s="2">
        <v>59.287561239802308</v>
      </c>
      <c r="T11" s="2">
        <v>106.76160215585546</v>
      </c>
      <c r="U11" s="2">
        <v>82.328484046403318</v>
      </c>
      <c r="V11" s="2">
        <v>67.324808887076074</v>
      </c>
      <c r="W11" s="2">
        <v>54.1167606520833</v>
      </c>
      <c r="X11" s="2">
        <v>32.083709091454786</v>
      </c>
      <c r="Y11" s="2">
        <v>257.38463516712704</v>
      </c>
      <c r="Z11" s="2">
        <v>78.042436803831166</v>
      </c>
      <c r="AA11" s="2">
        <v>140.50116885539001</v>
      </c>
      <c r="AB11" s="2">
        <v>81.456394340778814</v>
      </c>
      <c r="AC11" s="2"/>
      <c r="AD11" s="2">
        <v>149.92523281851183</v>
      </c>
      <c r="AE11" s="2">
        <v>155.9196435982571</v>
      </c>
      <c r="AF11" s="2">
        <v>250.51466060474615</v>
      </c>
      <c r="AG11" s="2">
        <v>189.35771998926461</v>
      </c>
      <c r="AH11" s="2">
        <v>265.4554078242038</v>
      </c>
      <c r="AI11" s="2">
        <v>316.09897939111841</v>
      </c>
      <c r="AJ11" s="2"/>
      <c r="AK11" s="2">
        <v>792.09612665889119</v>
      </c>
      <c r="AL11" s="2">
        <v>1869.0930965865787</v>
      </c>
      <c r="AM11" s="2">
        <v>839.44478540059401</v>
      </c>
      <c r="AN11" s="2">
        <v>838.46262889179434</v>
      </c>
      <c r="AO11" s="2">
        <v>547.85628368544701</v>
      </c>
      <c r="AP11" s="2">
        <v>1771.1683529361094</v>
      </c>
      <c r="AQ11" s="2"/>
      <c r="AR11" s="2">
        <v>79.33749402891047</v>
      </c>
      <c r="AS11" s="2">
        <v>164.90397993955472</v>
      </c>
      <c r="AT11" s="2">
        <v>121.26784060338207</v>
      </c>
      <c r="AU11" s="2"/>
      <c r="AV11" s="2">
        <v>2082.4741349512374</v>
      </c>
      <c r="AW11" s="2">
        <v>1467.7023912903067</v>
      </c>
      <c r="AX11" s="2">
        <v>2005.8210113618711</v>
      </c>
      <c r="AY11" s="2">
        <v>2544.8640628431667</v>
      </c>
      <c r="AZ11" s="2">
        <v>1290.8022786228732</v>
      </c>
      <c r="BA11" s="2"/>
      <c r="BB11" s="2">
        <v>386.45380517410877</v>
      </c>
      <c r="BC11" s="2">
        <v>1301.8275582618148</v>
      </c>
      <c r="BD11" s="2">
        <v>427.11854160221537</v>
      </c>
      <c r="BE11" s="2">
        <v>344.78963639476581</v>
      </c>
      <c r="BF11" s="2">
        <v>1020.7502285682496</v>
      </c>
      <c r="BG11" s="2">
        <v>450.68566890468503</v>
      </c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x14ac:dyDescent="0.35">
      <c r="A12" s="6" t="s">
        <v>158</v>
      </c>
      <c r="B12" s="1" t="s">
        <v>21</v>
      </c>
      <c r="C12" s="2">
        <f t="shared" si="0"/>
        <v>99.999999999999986</v>
      </c>
      <c r="D12" s="2">
        <f t="shared" si="1"/>
        <v>68.807148071801734</v>
      </c>
      <c r="E12" s="3">
        <f t="shared" si="2"/>
        <v>930.48787023954947</v>
      </c>
      <c r="F12" s="2">
        <f t="shared" si="3"/>
        <v>78.453893853267004</v>
      </c>
      <c r="G12" s="3">
        <f t="shared" si="4"/>
        <v>1633.9536017629709</v>
      </c>
      <c r="H12" s="3">
        <f t="shared" si="5"/>
        <v>691.67459613826259</v>
      </c>
      <c r="I12" s="3"/>
      <c r="J12" s="3">
        <f t="shared" si="6"/>
        <v>3020.7543865809821</v>
      </c>
      <c r="K12" s="2">
        <f t="shared" si="7"/>
        <v>28.414596078121718</v>
      </c>
      <c r="L12" s="1" t="s">
        <v>157</v>
      </c>
      <c r="M12" s="12" t="s">
        <v>142</v>
      </c>
      <c r="Q12" s="2">
        <v>90.887535907957584</v>
      </c>
      <c r="R12" s="2">
        <v>115.62139185386368</v>
      </c>
      <c r="S12" s="2">
        <v>93.491072238178731</v>
      </c>
      <c r="T12" s="2">
        <v>134.39756515933632</v>
      </c>
      <c r="U12" s="2">
        <v>93.862432417196985</v>
      </c>
      <c r="V12" s="2">
        <v>93.547340228369208</v>
      </c>
      <c r="W12" s="2">
        <v>115.68438724866428</v>
      </c>
      <c r="X12" s="2">
        <v>93.732484766667497</v>
      </c>
      <c r="Y12" s="2">
        <v>68.77579017976575</v>
      </c>
      <c r="Z12" s="2">
        <v>69.908827121344899</v>
      </c>
      <c r="AA12" s="2">
        <v>106.78868121507502</v>
      </c>
      <c r="AB12" s="2">
        <v>123.30249166358006</v>
      </c>
      <c r="AC12" s="2"/>
      <c r="AD12" s="2">
        <v>80.832585835455347</v>
      </c>
      <c r="AE12" s="2">
        <v>53.691188039363261</v>
      </c>
      <c r="AF12" s="2">
        <v>43.614946860814719</v>
      </c>
      <c r="AG12" s="2">
        <v>85.829422502897486</v>
      </c>
      <c r="AH12" s="2">
        <v>79.000291480006013</v>
      </c>
      <c r="AI12" s="2">
        <v>69.87445371227362</v>
      </c>
      <c r="AJ12" s="2"/>
      <c r="AK12" s="2">
        <v>948.69983778079984</v>
      </c>
      <c r="AL12" s="2">
        <v>475.9696877003251</v>
      </c>
      <c r="AM12" s="2">
        <v>1262.771962164672</v>
      </c>
      <c r="AN12" s="2">
        <v>901.37820458497333</v>
      </c>
      <c r="AO12" s="2">
        <v>1111.9119557612503</v>
      </c>
      <c r="AP12" s="2">
        <v>882.1955734452755</v>
      </c>
      <c r="AQ12" s="2"/>
      <c r="AR12" s="2">
        <v>76.093987694821095</v>
      </c>
      <c r="AS12" s="2">
        <v>72.091857835481775</v>
      </c>
      <c r="AT12" s="2">
        <v>87.175836029498157</v>
      </c>
      <c r="AU12" s="2"/>
      <c r="AV12" s="2">
        <v>1645.4442199388784</v>
      </c>
      <c r="AW12" s="2">
        <v>1858.8137002846345</v>
      </c>
      <c r="AX12" s="2">
        <v>1575.4389400920143</v>
      </c>
      <c r="AY12" s="2">
        <v>1381.6225987255168</v>
      </c>
      <c r="AZ12" s="2">
        <v>1708.4485497738108</v>
      </c>
      <c r="BA12" s="2"/>
      <c r="BB12" s="2">
        <v>681.34571072550102</v>
      </c>
      <c r="BC12" s="2">
        <v>513.84590597463284</v>
      </c>
      <c r="BD12" s="2">
        <v>878.46335821217417</v>
      </c>
      <c r="BE12" s="2">
        <v>675.16503076524361</v>
      </c>
      <c r="BF12" s="2">
        <v>545.27611302891921</v>
      </c>
      <c r="BG12" s="2">
        <v>855.951458123105</v>
      </c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x14ac:dyDescent="0.35">
      <c r="A13" s="1" t="s">
        <v>11</v>
      </c>
      <c r="B13" s="1" t="s">
        <v>126</v>
      </c>
      <c r="C13" s="2">
        <f t="shared" si="0"/>
        <v>100</v>
      </c>
      <c r="D13" s="2">
        <f t="shared" si="1"/>
        <v>72.631112562812959</v>
      </c>
      <c r="E13" s="3">
        <f t="shared" si="2"/>
        <v>510.39252409141932</v>
      </c>
      <c r="F13" s="2">
        <f t="shared" si="3"/>
        <v>32.931859228086985</v>
      </c>
      <c r="G13" s="3">
        <f t="shared" si="4"/>
        <v>1460.0977004662986</v>
      </c>
      <c r="H13" s="3">
        <f t="shared" si="5"/>
        <v>1082.6551901933442</v>
      </c>
      <c r="I13" s="3"/>
      <c r="J13" s="3">
        <f t="shared" si="6"/>
        <v>2954.3498370668012</v>
      </c>
      <c r="K13" s="24">
        <f t="shared" si="7"/>
        <v>23.580260578365966</v>
      </c>
      <c r="L13" s="1" t="s">
        <v>157</v>
      </c>
      <c r="M13" s="12" t="s">
        <v>142</v>
      </c>
      <c r="Q13" s="2">
        <v>153.20162615346041</v>
      </c>
      <c r="R13" s="2">
        <v>87.702051584219319</v>
      </c>
      <c r="S13" s="2">
        <v>59.096322262320314</v>
      </c>
      <c r="T13" s="2">
        <v>162.18821010117384</v>
      </c>
      <c r="U13" s="2">
        <v>81.864220014932712</v>
      </c>
      <c r="V13" s="2">
        <v>69.734534456613773</v>
      </c>
      <c r="W13" s="2">
        <v>59.790652474280968</v>
      </c>
      <c r="X13" s="2">
        <v>66.464132735577948</v>
      </c>
      <c r="Y13" s="2">
        <v>159.95825021742084</v>
      </c>
      <c r="Z13" s="2">
        <v>76.415127173490902</v>
      </c>
      <c r="AA13" s="2">
        <v>125.42130576752334</v>
      </c>
      <c r="AB13" s="2">
        <v>98.163567058985734</v>
      </c>
      <c r="AC13" s="2"/>
      <c r="AD13" s="2">
        <v>31.150992449902372</v>
      </c>
      <c r="AE13" s="2">
        <v>48.317054130212156</v>
      </c>
      <c r="AF13" s="2">
        <v>46.846032111762703</v>
      </c>
      <c r="AG13" s="2">
        <v>76.592954857420608</v>
      </c>
      <c r="AH13" s="2">
        <v>181.58765216254398</v>
      </c>
      <c r="AI13" s="2">
        <v>51.291989665035942</v>
      </c>
      <c r="AJ13" s="2"/>
      <c r="AK13" s="2">
        <v>377.05661075829403</v>
      </c>
      <c r="AL13" s="2">
        <v>431.63115408635383</v>
      </c>
      <c r="AM13" s="2">
        <v>483.05035675076493</v>
      </c>
      <c r="AN13" s="2">
        <v>468.220404955064</v>
      </c>
      <c r="AO13" s="2">
        <v>532.24345544649532</v>
      </c>
      <c r="AP13" s="2">
        <v>770.15316255154414</v>
      </c>
      <c r="AQ13" s="2"/>
      <c r="AR13" s="2">
        <v>37.181693175286725</v>
      </c>
      <c r="AS13" s="2">
        <v>31.377904752652761</v>
      </c>
      <c r="AT13" s="2">
        <v>30.23597975632148</v>
      </c>
      <c r="AU13" s="2"/>
      <c r="AV13" s="2">
        <v>1896.7288887131074</v>
      </c>
      <c r="AW13" s="2">
        <v>1354.3056561612973</v>
      </c>
      <c r="AX13" s="2">
        <v>1401.8438050188802</v>
      </c>
      <c r="AY13" s="2">
        <v>1018.2989040167715</v>
      </c>
      <c r="AZ13" s="2">
        <v>1629.3112484214373</v>
      </c>
      <c r="BA13" s="2"/>
      <c r="BB13" s="2">
        <v>1258.3436935639609</v>
      </c>
      <c r="BC13" s="2">
        <v>1288.0694042760342</v>
      </c>
      <c r="BD13" s="2">
        <v>1146.2252864637492</v>
      </c>
      <c r="BE13" s="2">
        <v>820.13943377877956</v>
      </c>
      <c r="BF13" s="2">
        <v>1075.7495252673689</v>
      </c>
      <c r="BG13" s="2">
        <v>907.4037978101718</v>
      </c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x14ac:dyDescent="0.35">
      <c r="A14" s="1" t="s">
        <v>24</v>
      </c>
      <c r="B14" s="1" t="s">
        <v>137</v>
      </c>
      <c r="C14" s="2">
        <f t="shared" si="0"/>
        <v>100.00000000000001</v>
      </c>
      <c r="D14" s="2">
        <f t="shared" si="1"/>
        <v>91.333086210174699</v>
      </c>
      <c r="E14" s="3">
        <f t="shared" si="2"/>
        <v>857.99130357526394</v>
      </c>
      <c r="F14" s="2">
        <f t="shared" si="3"/>
        <v>109.91591874826044</v>
      </c>
      <c r="G14" s="3">
        <f t="shared" si="4"/>
        <v>1352.3511198645069</v>
      </c>
      <c r="H14" s="3">
        <f t="shared" si="5"/>
        <v>748.00919653251856</v>
      </c>
      <c r="I14" s="3"/>
      <c r="J14" s="3">
        <f t="shared" si="6"/>
        <v>2628.6038637275083</v>
      </c>
      <c r="K14" s="24">
        <f t="shared" si="7"/>
        <v>24.088827889336205</v>
      </c>
      <c r="L14" s="12" t="s">
        <v>142</v>
      </c>
      <c r="M14" s="12" t="s">
        <v>142</v>
      </c>
      <c r="Q14" s="2">
        <v>131.36456391761701</v>
      </c>
      <c r="R14" s="2">
        <v>93.739134695553872</v>
      </c>
      <c r="S14" s="2">
        <v>74.896301386829109</v>
      </c>
      <c r="T14" s="2">
        <v>150.23033373887833</v>
      </c>
      <c r="U14" s="2">
        <v>89.369306510509958</v>
      </c>
      <c r="V14" s="2">
        <v>72.614022989476211</v>
      </c>
      <c r="W14" s="2">
        <v>110.46046849299709</v>
      </c>
      <c r="X14" s="2">
        <v>101.20824509321729</v>
      </c>
      <c r="Y14" s="2">
        <v>76.117623174921164</v>
      </c>
      <c r="Z14" s="2">
        <v>67.745437879622727</v>
      </c>
      <c r="AA14" s="2">
        <v>128.14321826599937</v>
      </c>
      <c r="AB14" s="2">
        <v>104.11134385437792</v>
      </c>
      <c r="AC14" s="2"/>
      <c r="AD14" s="2">
        <v>78.411244615108316</v>
      </c>
      <c r="AE14" s="2">
        <v>97.174958863486964</v>
      </c>
      <c r="AF14" s="2">
        <v>108.56973560591898</v>
      </c>
      <c r="AG14" s="2">
        <v>76.876024178738973</v>
      </c>
      <c r="AH14" s="2">
        <v>95.595321490259082</v>
      </c>
      <c r="AI14" s="2">
        <v>91.371232507535765</v>
      </c>
      <c r="AJ14" s="2"/>
      <c r="AK14" s="2">
        <v>877.19328906086275</v>
      </c>
      <c r="AL14" s="2">
        <v>675.88690393416141</v>
      </c>
      <c r="AM14" s="2">
        <v>581.96159086945397</v>
      </c>
      <c r="AN14" s="2">
        <v>921.66859290846617</v>
      </c>
      <c r="AO14" s="2">
        <v>1198.0076070911309</v>
      </c>
      <c r="AP14" s="2">
        <v>893.229837587509</v>
      </c>
      <c r="AQ14" s="2"/>
      <c r="AR14" s="2">
        <v>96.145187326950136</v>
      </c>
      <c r="AS14" s="2">
        <v>123.50246297962649</v>
      </c>
      <c r="AT14" s="2">
        <v>110.10010593820472</v>
      </c>
      <c r="AU14" s="2"/>
      <c r="AV14" s="2">
        <v>1633.5771461950285</v>
      </c>
      <c r="AW14" s="2">
        <v>1303.695389477343</v>
      </c>
      <c r="AX14" s="2">
        <v>1167.6578763351401</v>
      </c>
      <c r="AY14" s="2">
        <v>1310.2928860847953</v>
      </c>
      <c r="AZ14" s="2">
        <v>1346.5323012302276</v>
      </c>
      <c r="BA14" s="2"/>
      <c r="BB14" s="2">
        <v>930.8159951549768</v>
      </c>
      <c r="BC14" s="2">
        <v>505.25661138139651</v>
      </c>
      <c r="BD14" s="2">
        <v>906.14712957815266</v>
      </c>
      <c r="BE14" s="2">
        <v>469.06785498511414</v>
      </c>
      <c r="BF14" s="2">
        <v>946.33146119287733</v>
      </c>
      <c r="BG14" s="2">
        <v>730.43612690259397</v>
      </c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x14ac:dyDescent="0.35">
      <c r="A15" s="1" t="s">
        <v>26</v>
      </c>
      <c r="B15" s="1" t="s">
        <v>121</v>
      </c>
      <c r="C15" s="2">
        <f t="shared" si="0"/>
        <v>100</v>
      </c>
      <c r="D15" s="2">
        <f t="shared" si="1"/>
        <v>71.482893393802271</v>
      </c>
      <c r="E15" s="3">
        <f t="shared" si="2"/>
        <v>808.96917612137497</v>
      </c>
      <c r="F15" s="2">
        <f t="shared" si="3"/>
        <v>68.980138591752294</v>
      </c>
      <c r="G15" s="3">
        <f t="shared" si="4"/>
        <v>1205.8685055158001</v>
      </c>
      <c r="H15" s="3">
        <f t="shared" si="5"/>
        <v>669.19447705903087</v>
      </c>
      <c r="I15" s="3"/>
      <c r="J15" s="3">
        <f t="shared" si="6"/>
        <v>2477.0917429209489</v>
      </c>
      <c r="K15" s="2">
        <f t="shared" si="7"/>
        <v>26.234182136555717</v>
      </c>
      <c r="L15" s="12" t="s">
        <v>142</v>
      </c>
      <c r="M15" s="12" t="s">
        <v>142</v>
      </c>
      <c r="Q15" s="2">
        <v>113.09787612229576</v>
      </c>
      <c r="R15" s="2">
        <v>110.59831684456184</v>
      </c>
      <c r="S15" s="2">
        <v>76.303807033142419</v>
      </c>
      <c r="T15" s="2">
        <v>96.028250765153942</v>
      </c>
      <c r="U15" s="2">
        <v>99.147555453693471</v>
      </c>
      <c r="V15" s="2">
        <v>102.72732236839437</v>
      </c>
      <c r="W15" s="2">
        <v>120.81277407329087</v>
      </c>
      <c r="X15" s="2">
        <v>91.338512857107403</v>
      </c>
      <c r="Y15" s="2">
        <v>89.945584482359976</v>
      </c>
      <c r="Z15" s="2">
        <v>90.01809243397112</v>
      </c>
      <c r="AA15" s="2">
        <v>97.540722308596045</v>
      </c>
      <c r="AB15" s="2">
        <v>112.44118525743283</v>
      </c>
      <c r="AC15" s="2"/>
      <c r="AD15" s="2">
        <v>68.007932790285693</v>
      </c>
      <c r="AE15" s="2">
        <v>55.811838636302781</v>
      </c>
      <c r="AF15" s="2">
        <v>75.029251707223281</v>
      </c>
      <c r="AG15" s="2">
        <v>82.81906521845238</v>
      </c>
      <c r="AH15" s="2">
        <v>69.865406164256925</v>
      </c>
      <c r="AI15" s="2">
        <v>77.363865846292555</v>
      </c>
      <c r="AJ15" s="2"/>
      <c r="AK15" s="2">
        <v>841.00971681625072</v>
      </c>
      <c r="AL15" s="2">
        <v>306.56334960714332</v>
      </c>
      <c r="AM15" s="2">
        <v>716.36681619638</v>
      </c>
      <c r="AN15" s="2">
        <v>1088.9724033871773</v>
      </c>
      <c r="AO15" s="2">
        <v>1191.9126487565125</v>
      </c>
      <c r="AP15" s="2">
        <v>708.99012196478668</v>
      </c>
      <c r="AQ15" s="2"/>
      <c r="AR15" s="2">
        <v>65.096351086941269</v>
      </c>
      <c r="AS15" s="2">
        <v>60.64091303719529</v>
      </c>
      <c r="AT15" s="2">
        <v>81.203151651120322</v>
      </c>
      <c r="AU15" s="2"/>
      <c r="AV15" s="2">
        <v>1320.3546823569638</v>
      </c>
      <c r="AW15" s="2">
        <v>1219.8859428880728</v>
      </c>
      <c r="AX15" s="2">
        <v>1366.2034972281617</v>
      </c>
      <c r="AY15" s="2">
        <v>1069.199527172952</v>
      </c>
      <c r="AZ15" s="2">
        <v>1053.6988779328506</v>
      </c>
      <c r="BA15" s="2"/>
      <c r="BB15" s="2">
        <v>766.57539861907003</v>
      </c>
      <c r="BC15" s="2">
        <v>628.06692496197797</v>
      </c>
      <c r="BD15" s="2">
        <v>711.05388973445963</v>
      </c>
      <c r="BE15" s="2">
        <v>578.54175685216728</v>
      </c>
      <c r="BF15" s="2">
        <v>728.58781837521008</v>
      </c>
      <c r="BG15" s="2">
        <v>602.3410738113007</v>
      </c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x14ac:dyDescent="0.35">
      <c r="A16" s="1" t="s">
        <v>27</v>
      </c>
      <c r="B16" s="1" t="s">
        <v>127</v>
      </c>
      <c r="C16" s="2">
        <f t="shared" si="0"/>
        <v>100</v>
      </c>
      <c r="D16" s="2">
        <f t="shared" si="1"/>
        <v>52.719737808723231</v>
      </c>
      <c r="E16" s="3">
        <f t="shared" si="2"/>
        <v>941.70045257779566</v>
      </c>
      <c r="F16" s="2">
        <f t="shared" si="3"/>
        <v>35.223081008252755</v>
      </c>
      <c r="G16" s="3">
        <f t="shared" si="4"/>
        <v>914.30031409452317</v>
      </c>
      <c r="H16" s="3">
        <f t="shared" si="5"/>
        <v>633.61790856843379</v>
      </c>
      <c r="I16" s="3"/>
      <c r="J16" s="3">
        <f t="shared" si="6"/>
        <v>2383.9494322159944</v>
      </c>
      <c r="K16" s="24">
        <f t="shared" si="7"/>
        <v>24.799814568226456</v>
      </c>
      <c r="L16" s="12" t="s">
        <v>142</v>
      </c>
      <c r="M16" s="12" t="s">
        <v>142</v>
      </c>
      <c r="Q16" s="2">
        <v>113.63948048154681</v>
      </c>
      <c r="R16" s="2">
        <v>62.452071797493531</v>
      </c>
      <c r="S16" s="2">
        <v>123.90844772095966</v>
      </c>
      <c r="T16" s="2">
        <v>145.13261297257336</v>
      </c>
      <c r="U16" s="2">
        <v>125.22719923604353</v>
      </c>
      <c r="V16" s="2">
        <v>64.93108272195704</v>
      </c>
      <c r="W16" s="2">
        <v>89.473106035340848</v>
      </c>
      <c r="X16" s="2">
        <v>107.85837469967645</v>
      </c>
      <c r="Y16" s="2">
        <v>67.377624334408836</v>
      </c>
      <c r="Z16" s="2">
        <v>84.61051894071862</v>
      </c>
      <c r="AA16" s="2">
        <v>89.09484162466471</v>
      </c>
      <c r="AB16" s="2">
        <v>126.29463943461667</v>
      </c>
      <c r="AC16" s="2"/>
      <c r="AD16" s="2">
        <v>69.879659351444502</v>
      </c>
      <c r="AE16" s="2">
        <v>60.215297205030083</v>
      </c>
      <c r="AF16" s="2">
        <v>60.328098580822584</v>
      </c>
      <c r="AG16" s="2">
        <v>47.723685487862738</v>
      </c>
      <c r="AH16" s="2">
        <v>35.559537588050659</v>
      </c>
      <c r="AI16" s="2">
        <v>42.612148639128819</v>
      </c>
      <c r="AJ16" s="2"/>
      <c r="AK16" s="2">
        <v>837.77237565278733</v>
      </c>
      <c r="AL16" s="2">
        <v>440.73858456122014</v>
      </c>
      <c r="AM16" s="2">
        <v>801.88795737980752</v>
      </c>
      <c r="AN16" s="2">
        <v>1201.4246139497241</v>
      </c>
      <c r="AO16" s="2">
        <v>1301.4219553140679</v>
      </c>
      <c r="AP16" s="2">
        <v>1066.9572286091666</v>
      </c>
      <c r="AQ16" s="2"/>
      <c r="AR16" s="2">
        <v>36.73926743493147</v>
      </c>
      <c r="AS16" s="2">
        <v>30.306237996767166</v>
      </c>
      <c r="AT16" s="2">
        <v>38.623737593059616</v>
      </c>
      <c r="AU16" s="2"/>
      <c r="AV16" s="2">
        <v>972.78853844640582</v>
      </c>
      <c r="AW16" s="2">
        <v>1041.4557450262168</v>
      </c>
      <c r="AX16" s="2">
        <v>814.14165250675546</v>
      </c>
      <c r="AY16" s="2">
        <v>750.30207962285897</v>
      </c>
      <c r="AZ16" s="2">
        <v>992.81355487037865</v>
      </c>
      <c r="BA16" s="2"/>
      <c r="BB16" s="2">
        <v>520.03396351153242</v>
      </c>
      <c r="BC16" s="2">
        <v>595.60130573229321</v>
      </c>
      <c r="BD16" s="2">
        <v>706.48351220162067</v>
      </c>
      <c r="BE16" s="2">
        <v>733.26461127471271</v>
      </c>
      <c r="BF16" s="2">
        <v>542.60768484856851</v>
      </c>
      <c r="BG16" s="2">
        <v>703.71637384187477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x14ac:dyDescent="0.35">
      <c r="A17" s="1" t="s">
        <v>29</v>
      </c>
      <c r="B17" s="1" t="s">
        <v>135</v>
      </c>
      <c r="C17" s="2">
        <f t="shared" si="0"/>
        <v>99.999999999999986</v>
      </c>
      <c r="D17" s="2">
        <f t="shared" si="1"/>
        <v>55.358631385202557</v>
      </c>
      <c r="E17" s="4">
        <f t="shared" si="2"/>
        <v>458.756063434184</v>
      </c>
      <c r="F17" s="2">
        <f t="shared" si="3"/>
        <v>42.145622476618222</v>
      </c>
      <c r="G17" s="3">
        <f t="shared" si="4"/>
        <v>986.42968580614888</v>
      </c>
      <c r="H17" s="3">
        <f t="shared" si="5"/>
        <v>673.24148034652762</v>
      </c>
      <c r="I17" s="3"/>
      <c r="J17" s="3">
        <f t="shared" si="6"/>
        <v>1991.9903621570058</v>
      </c>
      <c r="K17" s="24">
        <f t="shared" si="7"/>
        <v>24.615777977870941</v>
      </c>
      <c r="L17" s="12" t="s">
        <v>142</v>
      </c>
      <c r="M17" s="12" t="s">
        <v>142</v>
      </c>
      <c r="Q17" s="2">
        <v>119.79480307310335</v>
      </c>
      <c r="R17" s="2">
        <v>101.98591523289787</v>
      </c>
      <c r="S17" s="2">
        <v>78.219281693998738</v>
      </c>
      <c r="T17" s="2">
        <v>116.66446959440025</v>
      </c>
      <c r="U17" s="2">
        <v>91.564390989177156</v>
      </c>
      <c r="V17" s="2">
        <v>92.779496148956113</v>
      </c>
      <c r="W17" s="2">
        <v>98.12271822759736</v>
      </c>
      <c r="X17" s="2">
        <v>111.02235843793964</v>
      </c>
      <c r="Y17" s="2">
        <v>89.846566601929439</v>
      </c>
      <c r="Z17" s="2">
        <v>83.949885649897894</v>
      </c>
      <c r="AA17" s="2">
        <v>104.41658448941399</v>
      </c>
      <c r="AB17" s="2">
        <v>111.63352986068809</v>
      </c>
      <c r="AC17" s="2"/>
      <c r="AD17" s="2">
        <v>57.076573884336746</v>
      </c>
      <c r="AE17" s="2">
        <v>50.304922297927824</v>
      </c>
      <c r="AF17" s="2">
        <v>57.113808415738553</v>
      </c>
      <c r="AG17" s="2">
        <v>58.23180138409289</v>
      </c>
      <c r="AH17" s="2">
        <v>51.503044422988943</v>
      </c>
      <c r="AI17" s="2">
        <v>57.921637906130407</v>
      </c>
      <c r="AJ17" s="2"/>
      <c r="AK17" s="2">
        <v>378.96755772396409</v>
      </c>
      <c r="AL17" s="2">
        <v>375.00982789120718</v>
      </c>
      <c r="AM17" s="2">
        <v>172.70324141151286</v>
      </c>
      <c r="AN17" s="2">
        <v>474.49504182152793</v>
      </c>
      <c r="AO17" s="2">
        <v>773.91764133170193</v>
      </c>
      <c r="AP17" s="2">
        <v>577.44307042519029</v>
      </c>
      <c r="AQ17" s="2"/>
      <c r="AR17" s="2">
        <v>36.264981341766678</v>
      </c>
      <c r="AS17" s="2">
        <v>41.898723352827915</v>
      </c>
      <c r="AT17" s="2">
        <v>48.273162735260073</v>
      </c>
      <c r="AU17" s="2"/>
      <c r="AV17" s="2">
        <v>937.43134087698616</v>
      </c>
      <c r="AW17" s="2">
        <v>887.21037257134913</v>
      </c>
      <c r="AX17" s="2">
        <v>894.05649952608087</v>
      </c>
      <c r="AY17" s="2">
        <v>1075.0388572212494</v>
      </c>
      <c r="AZ17" s="2">
        <v>1138.4113588350785</v>
      </c>
      <c r="BA17" s="2"/>
      <c r="BB17" s="2">
        <v>784.61225830449155</v>
      </c>
      <c r="BC17" s="2">
        <v>600.4492989430687</v>
      </c>
      <c r="BD17" s="2">
        <v>902.57310229833161</v>
      </c>
      <c r="BE17" s="2">
        <v>600.77374311512142</v>
      </c>
      <c r="BF17" s="2">
        <v>504.42667403346235</v>
      </c>
      <c r="BG17" s="2">
        <v>646.61380538469029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x14ac:dyDescent="0.35">
      <c r="A18" s="1" t="s">
        <v>119</v>
      </c>
      <c r="B18" s="1" t="s">
        <v>18</v>
      </c>
      <c r="C18" s="2">
        <f t="shared" si="0"/>
        <v>100</v>
      </c>
      <c r="D18" s="2">
        <f t="shared" si="1"/>
        <v>91.019783547232052</v>
      </c>
      <c r="E18" s="4">
        <f t="shared" si="2"/>
        <v>401.04018946396712</v>
      </c>
      <c r="F18" s="2">
        <f t="shared" si="3"/>
        <v>146.97502146042675</v>
      </c>
      <c r="G18" s="3">
        <f t="shared" si="4"/>
        <v>1336.9060851352317</v>
      </c>
      <c r="H18" s="3">
        <f t="shared" si="5"/>
        <v>691.22624187452845</v>
      </c>
      <c r="I18" s="3"/>
      <c r="J18" s="3">
        <f t="shared" si="6"/>
        <v>1988.247452092447</v>
      </c>
      <c r="K18" s="24">
        <f t="shared" si="7"/>
        <v>16.105028595442462</v>
      </c>
      <c r="L18" s="1" t="s">
        <v>157</v>
      </c>
      <c r="M18" s="12" t="s">
        <v>142</v>
      </c>
      <c r="Q18" s="2">
        <v>59.302232783070806</v>
      </c>
      <c r="R18" s="2">
        <v>126.01591305059465</v>
      </c>
      <c r="S18" s="2">
        <v>114.68185416633456</v>
      </c>
      <c r="T18" s="2">
        <v>76.391746853617732</v>
      </c>
      <c r="U18" s="2">
        <v>73.128384616193259</v>
      </c>
      <c r="V18" s="2">
        <v>122.09442363775878</v>
      </c>
      <c r="W18" s="2">
        <v>88.127020805443422</v>
      </c>
      <c r="X18" s="2">
        <v>97.369522900374307</v>
      </c>
      <c r="Y18" s="2">
        <v>142.88890118661257</v>
      </c>
      <c r="Z18" s="2">
        <v>86.658238705145337</v>
      </c>
      <c r="AA18" s="2">
        <v>79.84470348216631</v>
      </c>
      <c r="AB18" s="2">
        <v>133.49705781268841</v>
      </c>
      <c r="AC18" s="2"/>
      <c r="AD18" s="2">
        <v>125.24901730800701</v>
      </c>
      <c r="AE18" s="2">
        <v>80.945301592440771</v>
      </c>
      <c r="AF18" s="2">
        <v>95.921107695208065</v>
      </c>
      <c r="AG18" s="2">
        <v>97.245684633595801</v>
      </c>
      <c r="AH18" s="2">
        <v>83.223444368747721</v>
      </c>
      <c r="AI18" s="2">
        <v>63.534145685392808</v>
      </c>
      <c r="AJ18" s="2"/>
      <c r="AK18" s="2">
        <v>570.09974555254644</v>
      </c>
      <c r="AL18" s="2">
        <v>331.13765554286311</v>
      </c>
      <c r="AM18" s="2">
        <v>559.22845393550881</v>
      </c>
      <c r="AN18" s="2">
        <v>313.01739951010757</v>
      </c>
      <c r="AO18" s="2">
        <v>316.03246884855929</v>
      </c>
      <c r="AP18" s="2">
        <v>316.72541339421724</v>
      </c>
      <c r="AQ18" s="2"/>
      <c r="AR18" s="2">
        <v>115.68196922129889</v>
      </c>
      <c r="AS18" s="2">
        <v>168.21515362737014</v>
      </c>
      <c r="AT18" s="2">
        <v>157.02794153261115</v>
      </c>
      <c r="AU18" s="2"/>
      <c r="AV18" s="2">
        <v>1308.9693405479695</v>
      </c>
      <c r="AW18" s="2">
        <v>1946.4125265631958</v>
      </c>
      <c r="AX18" s="2">
        <v>862.5217764473997</v>
      </c>
      <c r="AY18" s="2">
        <v>1135.2079770627568</v>
      </c>
      <c r="AZ18" s="2">
        <v>1431.4188050548364</v>
      </c>
      <c r="BA18" s="2"/>
      <c r="BB18" s="2">
        <v>626.25530307810038</v>
      </c>
      <c r="BC18" s="2">
        <v>636.12807500418307</v>
      </c>
      <c r="BD18" s="2">
        <v>918.13830931015286</v>
      </c>
      <c r="BE18" s="2">
        <v>546.32137745804448</v>
      </c>
      <c r="BF18" s="2">
        <v>631.79111175661649</v>
      </c>
      <c r="BG18" s="2">
        <v>788.72327464007333</v>
      </c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x14ac:dyDescent="0.35">
      <c r="A19" s="1" t="s">
        <v>32</v>
      </c>
      <c r="B19" s="1" t="s">
        <v>32</v>
      </c>
      <c r="C19" s="2">
        <f t="shared" si="0"/>
        <v>99.999999999999986</v>
      </c>
      <c r="D19" s="2">
        <f t="shared" si="1"/>
        <v>167.39961483956202</v>
      </c>
      <c r="E19" s="3">
        <f t="shared" si="2"/>
        <v>796.90246259318553</v>
      </c>
      <c r="F19" s="2">
        <f t="shared" si="3"/>
        <v>149.00983376339886</v>
      </c>
      <c r="G19" s="3">
        <f t="shared" si="4"/>
        <v>1081.4612500362095</v>
      </c>
      <c r="H19" s="4">
        <f t="shared" si="5"/>
        <v>448.34933133226377</v>
      </c>
      <c r="I19" s="4"/>
      <c r="J19" s="3">
        <f t="shared" si="6"/>
        <v>1879.6835426714624</v>
      </c>
      <c r="K19" s="2">
        <f t="shared" si="7"/>
        <v>6.1913675162747666</v>
      </c>
      <c r="L19" s="1" t="s">
        <v>157</v>
      </c>
      <c r="M19" s="12" t="s">
        <v>142</v>
      </c>
      <c r="Q19" s="2">
        <v>64.350490062989593</v>
      </c>
      <c r="R19" s="2">
        <v>169.45565557689417</v>
      </c>
      <c r="S19" s="2">
        <v>66.193854360116234</v>
      </c>
      <c r="T19" s="2">
        <v>65.998442481349073</v>
      </c>
      <c r="U19" s="2">
        <v>74.644900664806158</v>
      </c>
      <c r="V19" s="2">
        <v>90.174934438498255</v>
      </c>
      <c r="W19" s="2">
        <v>44.605574077209575</v>
      </c>
      <c r="X19" s="2">
        <v>99.168370757940139</v>
      </c>
      <c r="Y19" s="2">
        <v>225.40777758019672</v>
      </c>
      <c r="Z19" s="2">
        <v>103.23141021660975</v>
      </c>
      <c r="AA19" s="2">
        <v>88.816879250657323</v>
      </c>
      <c r="AB19" s="2">
        <v>107.95171053273296</v>
      </c>
      <c r="AC19" s="2"/>
      <c r="AD19" s="2">
        <v>112.94474778677498</v>
      </c>
      <c r="AE19" s="2">
        <v>167.27645115038132</v>
      </c>
      <c r="AF19" s="2">
        <v>126.79815558728107</v>
      </c>
      <c r="AG19" s="2">
        <v>193.03166568912303</v>
      </c>
      <c r="AH19" s="2">
        <v>160.1747636028295</v>
      </c>
      <c r="AI19" s="2">
        <v>244.17190522098224</v>
      </c>
      <c r="AJ19" s="2"/>
      <c r="AK19" s="2">
        <v>805.68516274840624</v>
      </c>
      <c r="AL19" s="2">
        <v>2159.3575217975376</v>
      </c>
      <c r="AM19" s="2">
        <v>739.95908217078352</v>
      </c>
      <c r="AN19" s="2">
        <v>323.01424804402228</v>
      </c>
      <c r="AO19" s="2">
        <v>326.99814175347626</v>
      </c>
      <c r="AP19" s="2">
        <v>426.40061904488709</v>
      </c>
      <c r="AQ19" s="2"/>
      <c r="AR19" s="2">
        <v>135.41220652095629</v>
      </c>
      <c r="AS19" s="2">
        <v>168.87358539128189</v>
      </c>
      <c r="AT19" s="2">
        <v>142.74370937795837</v>
      </c>
      <c r="AU19" s="2"/>
      <c r="AV19" s="2">
        <v>2098.4456998238966</v>
      </c>
      <c r="AW19" s="2">
        <v>1293.5713959936602</v>
      </c>
      <c r="AX19" s="2">
        <v>453.68678905507801</v>
      </c>
      <c r="AY19" s="2">
        <v>908.91379349130943</v>
      </c>
      <c r="AZ19" s="2">
        <v>652.68857181710325</v>
      </c>
      <c r="BA19" s="2"/>
      <c r="BB19" s="2">
        <v>245.39916541006545</v>
      </c>
      <c r="BC19" s="2">
        <v>934.5201366016604</v>
      </c>
      <c r="BD19" s="2">
        <v>211.84154981726647</v>
      </c>
      <c r="BE19" s="2">
        <v>260.28106844804108</v>
      </c>
      <c r="BF19" s="2">
        <v>880.33931321357568</v>
      </c>
      <c r="BG19" s="2">
        <v>157.71475450297339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x14ac:dyDescent="0.35">
      <c r="A20" s="1" t="s">
        <v>33</v>
      </c>
      <c r="B20" s="1" t="s">
        <v>118</v>
      </c>
      <c r="C20" s="2">
        <f t="shared" si="0"/>
        <v>99.999999999999986</v>
      </c>
      <c r="D20" s="2">
        <f t="shared" si="1"/>
        <v>114.22479363469073</v>
      </c>
      <c r="E20" s="3">
        <f t="shared" si="2"/>
        <v>1036.0734479252264</v>
      </c>
      <c r="F20" s="2">
        <f t="shared" si="3"/>
        <v>119.29365594148338</v>
      </c>
      <c r="G20" s="3">
        <f t="shared" si="4"/>
        <v>542.01522528490307</v>
      </c>
      <c r="H20" s="4">
        <f t="shared" si="5"/>
        <v>333.83618510889397</v>
      </c>
      <c r="I20" s="4"/>
      <c r="J20" s="3">
        <f t="shared" si="6"/>
        <v>1554.0438904945731</v>
      </c>
      <c r="K20" s="24">
        <f t="shared" si="7"/>
        <v>17.803107235972707</v>
      </c>
      <c r="L20" s="1" t="s">
        <v>157</v>
      </c>
      <c r="M20" s="12" t="s">
        <v>142</v>
      </c>
      <c r="Q20" s="2">
        <v>95.354957903326806</v>
      </c>
      <c r="R20" s="2">
        <v>79.632878749064545</v>
      </c>
      <c r="S20" s="2">
        <v>125.01216334760865</v>
      </c>
      <c r="T20" s="2">
        <v>113.29671972094758</v>
      </c>
      <c r="U20" s="2">
        <v>122.4881997016801</v>
      </c>
      <c r="V20" s="2">
        <v>77.458686469042092</v>
      </c>
      <c r="W20" s="2">
        <v>75.056205256965939</v>
      </c>
      <c r="X20" s="2">
        <v>91.0184035139538</v>
      </c>
      <c r="Y20" s="2">
        <v>120.68178533741043</v>
      </c>
      <c r="Z20" s="2">
        <v>89.365939900105502</v>
      </c>
      <c r="AA20" s="2">
        <v>98.628089036538611</v>
      </c>
      <c r="AB20" s="2">
        <v>112.00597106335587</v>
      </c>
      <c r="AC20" s="2"/>
      <c r="AD20" s="2">
        <v>120.84860703220775</v>
      </c>
      <c r="AE20" s="2">
        <v>139.7851360573857</v>
      </c>
      <c r="AF20" s="2">
        <v>118.24708447603454</v>
      </c>
      <c r="AG20" s="2">
        <v>106.56225526060763</v>
      </c>
      <c r="AH20" s="2">
        <v>107.26089158675575</v>
      </c>
      <c r="AI20" s="2">
        <v>92.644787395153017</v>
      </c>
      <c r="AJ20" s="2"/>
      <c r="AK20" s="2">
        <v>977.46223923079742</v>
      </c>
      <c r="AL20" s="2">
        <v>735.00093152658769</v>
      </c>
      <c r="AM20" s="2">
        <v>1034.8905564885631</v>
      </c>
      <c r="AN20" s="2">
        <v>1085.8999602492456</v>
      </c>
      <c r="AO20" s="2">
        <v>1027.8070089900471</v>
      </c>
      <c r="AP20" s="2">
        <v>1355.3799910661176</v>
      </c>
      <c r="AQ20" s="2"/>
      <c r="AR20" s="2">
        <v>138.30382074707998</v>
      </c>
      <c r="AS20" s="2">
        <v>105.09627352339571</v>
      </c>
      <c r="AT20" s="2">
        <v>114.48087355397445</v>
      </c>
      <c r="AU20" s="2"/>
      <c r="AV20" s="2">
        <v>615.07757102586402</v>
      </c>
      <c r="AW20" s="2">
        <v>475.46970909786967</v>
      </c>
      <c r="AX20" s="2">
        <v>491.37563844923801</v>
      </c>
      <c r="AY20" s="2">
        <v>675.22941557802494</v>
      </c>
      <c r="AZ20" s="2">
        <v>452.92379227351847</v>
      </c>
      <c r="BA20" s="2"/>
      <c r="BB20" s="2">
        <v>218.29010269018153</v>
      </c>
      <c r="BC20" s="2">
        <v>650.02689480750746</v>
      </c>
      <c r="BD20" s="2">
        <v>202.93050893324926</v>
      </c>
      <c r="BE20" s="2">
        <v>245.55793989137263</v>
      </c>
      <c r="BF20" s="2">
        <v>431.8881293656865</v>
      </c>
      <c r="BG20" s="2">
        <v>254.32353496536635</v>
      </c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x14ac:dyDescent="0.35">
      <c r="A21" s="1" t="s">
        <v>35</v>
      </c>
      <c r="B21" s="1" t="s">
        <v>129</v>
      </c>
      <c r="C21" s="2">
        <f t="shared" si="0"/>
        <v>100</v>
      </c>
      <c r="D21" s="2">
        <f t="shared" si="1"/>
        <v>75.858659638094451</v>
      </c>
      <c r="E21" s="3">
        <f t="shared" si="2"/>
        <v>520.67009993833915</v>
      </c>
      <c r="F21" s="2">
        <f t="shared" si="3"/>
        <v>28.902321524396967</v>
      </c>
      <c r="G21" s="3">
        <f t="shared" si="4"/>
        <v>586.92781563085919</v>
      </c>
      <c r="H21" s="4">
        <f t="shared" si="5"/>
        <v>435.80140250395249</v>
      </c>
      <c r="I21" s="4"/>
      <c r="J21" s="3">
        <f t="shared" si="6"/>
        <v>1456.6923534999601</v>
      </c>
      <c r="K21" s="24">
        <f t="shared" si="7"/>
        <v>17.127454031033718</v>
      </c>
      <c r="L21" s="12" t="s">
        <v>142</v>
      </c>
      <c r="M21" s="12" t="s">
        <v>142</v>
      </c>
      <c r="Q21" s="2">
        <v>115.74973975081707</v>
      </c>
      <c r="R21" s="2">
        <v>105.22422275429686</v>
      </c>
      <c r="S21" s="2">
        <v>79.026037494886097</v>
      </c>
      <c r="T21" s="2">
        <v>122.15393990205811</v>
      </c>
      <c r="U21" s="2">
        <v>106.06911236680361</v>
      </c>
      <c r="V21" s="2">
        <v>85.897051113793168</v>
      </c>
      <c r="W21" s="2">
        <v>109.75880428819939</v>
      </c>
      <c r="X21" s="2">
        <v>98.401105441647658</v>
      </c>
      <c r="Y21" s="2">
        <v>77.71998688749818</v>
      </c>
      <c r="Z21" s="2">
        <v>80.644193112732935</v>
      </c>
      <c r="AA21" s="2">
        <v>101.46687295292152</v>
      </c>
      <c r="AB21" s="2">
        <v>117.88893393434554</v>
      </c>
      <c r="AC21" s="2"/>
      <c r="AD21" s="2">
        <v>56.268384847915037</v>
      </c>
      <c r="AE21" s="2">
        <v>64.766471941588776</v>
      </c>
      <c r="AF21" s="2">
        <v>70.180416280709565</v>
      </c>
      <c r="AG21" s="2">
        <v>74.18139709996683</v>
      </c>
      <c r="AH21" s="2">
        <v>92.699527884013193</v>
      </c>
      <c r="AI21" s="2">
        <v>97.055759774373314</v>
      </c>
      <c r="AJ21" s="2"/>
      <c r="AK21" s="2">
        <v>403.96833736480056</v>
      </c>
      <c r="AL21" s="2">
        <v>230.56095115209749</v>
      </c>
      <c r="AM21" s="2">
        <v>177.12460161164844</v>
      </c>
      <c r="AN21" s="2">
        <v>647.10144831003345</v>
      </c>
      <c r="AO21" s="2">
        <v>899.27562895135327</v>
      </c>
      <c r="AP21" s="2">
        <v>765.98963224010174</v>
      </c>
      <c r="AQ21" s="2"/>
      <c r="AR21" s="2">
        <v>26.124978512852902</v>
      </c>
      <c r="AS21" s="2">
        <v>28.14813551174564</v>
      </c>
      <c r="AT21" s="2">
        <v>32.433850548592353</v>
      </c>
      <c r="AU21" s="2"/>
      <c r="AV21" s="2">
        <v>550.69696899764449</v>
      </c>
      <c r="AW21" s="2">
        <v>445.35429099395833</v>
      </c>
      <c r="AX21" s="2">
        <v>698.98906180459562</v>
      </c>
      <c r="AY21" s="2">
        <v>612.00042741220523</v>
      </c>
      <c r="AZ21" s="2">
        <v>627.59832894589215</v>
      </c>
      <c r="BA21" s="2"/>
      <c r="BB21" s="2">
        <v>446.14013562776972</v>
      </c>
      <c r="BC21" s="2">
        <v>382.57711898662927</v>
      </c>
      <c r="BD21" s="2">
        <v>565.78567838545939</v>
      </c>
      <c r="BE21" s="2">
        <v>442.29083959760521</v>
      </c>
      <c r="BF21" s="2">
        <v>311.53640485975927</v>
      </c>
      <c r="BG21" s="2">
        <v>466.47823756649234</v>
      </c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x14ac:dyDescent="0.35">
      <c r="A22" s="1" t="s">
        <v>37</v>
      </c>
      <c r="B22" s="1" t="s">
        <v>125</v>
      </c>
      <c r="C22" s="2">
        <f t="shared" si="0"/>
        <v>99.999999999999986</v>
      </c>
      <c r="D22" s="2">
        <f t="shared" si="1"/>
        <v>59.990747157321117</v>
      </c>
      <c r="E22" s="4">
        <f t="shared" si="2"/>
        <v>366.43473921131908</v>
      </c>
      <c r="F22" s="2">
        <f t="shared" si="3"/>
        <v>70.299010926924637</v>
      </c>
      <c r="G22" s="3">
        <f t="shared" si="4"/>
        <v>541.02998731367495</v>
      </c>
      <c r="H22" s="4">
        <f t="shared" si="5"/>
        <v>441.08145970621473</v>
      </c>
      <c r="I22" s="4"/>
      <c r="J22" s="3">
        <f t="shared" si="6"/>
        <v>1137.6491534504348</v>
      </c>
      <c r="K22" s="24">
        <f t="shared" si="7"/>
        <v>17.073891790562907</v>
      </c>
      <c r="L22" s="12" t="s">
        <v>142</v>
      </c>
      <c r="M22" s="12" t="s">
        <v>142</v>
      </c>
      <c r="Q22" s="2">
        <v>105.23299203981006</v>
      </c>
      <c r="R22" s="2">
        <v>146.24228277115003</v>
      </c>
      <c r="S22" s="2">
        <v>48.524725189039941</v>
      </c>
      <c r="T22" s="2">
        <v>129.89700260052712</v>
      </c>
      <c r="U22" s="2">
        <v>122.052306440571</v>
      </c>
      <c r="V22" s="2">
        <v>100.18736361127603</v>
      </c>
      <c r="W22" s="2">
        <v>105.35031108122364</v>
      </c>
      <c r="X22" s="2">
        <v>77.47203620429562</v>
      </c>
      <c r="Y22" s="2">
        <v>65.040980062106641</v>
      </c>
      <c r="Z22" s="2">
        <v>80.300352685652399</v>
      </c>
      <c r="AA22" s="2">
        <v>112.25569571642141</v>
      </c>
      <c r="AB22" s="2">
        <v>107.44395159792614</v>
      </c>
      <c r="AC22" s="2"/>
      <c r="AD22" s="2">
        <v>64.566616856573276</v>
      </c>
      <c r="AE22" s="2">
        <v>68.281832724930752</v>
      </c>
      <c r="AF22" s="2">
        <v>56.395130410137455</v>
      </c>
      <c r="AG22" s="2">
        <v>59.867801480642903</v>
      </c>
      <c r="AH22" s="2">
        <v>67.096745816243399</v>
      </c>
      <c r="AI22" s="2">
        <v>43.736355655398881</v>
      </c>
      <c r="AJ22" s="2"/>
      <c r="AK22" s="2">
        <v>234.70571128318247</v>
      </c>
      <c r="AL22" s="2">
        <v>425.00104408322869</v>
      </c>
      <c r="AM22" s="2">
        <v>144.0370656621829</v>
      </c>
      <c r="AN22" s="2">
        <v>378.72114019957957</v>
      </c>
      <c r="AO22" s="2">
        <v>519.82441632045777</v>
      </c>
      <c r="AP22" s="2">
        <v>496.31905771928314</v>
      </c>
      <c r="AQ22" s="2"/>
      <c r="AR22" s="2">
        <v>63.805008385273723</v>
      </c>
      <c r="AS22" s="2">
        <v>62.819769328051372</v>
      </c>
      <c r="AT22" s="2">
        <v>84.27225506744881</v>
      </c>
      <c r="AU22" s="2"/>
      <c r="AV22" s="2">
        <v>452.46697024622233</v>
      </c>
      <c r="AW22" s="2">
        <v>515.00564509612775</v>
      </c>
      <c r="AX22" s="2">
        <v>568.27799047055873</v>
      </c>
      <c r="AY22" s="2">
        <v>564.79506825820408</v>
      </c>
      <c r="AZ22" s="2">
        <v>604.60426249726197</v>
      </c>
      <c r="BA22" s="2"/>
      <c r="BB22" s="2">
        <v>444.94678488812752</v>
      </c>
      <c r="BC22" s="2">
        <v>429.50514162228774</v>
      </c>
      <c r="BD22" s="2">
        <v>592.21931363168335</v>
      </c>
      <c r="BE22" s="2">
        <v>310.81231805950085</v>
      </c>
      <c r="BF22" s="2">
        <v>258.31584190415833</v>
      </c>
      <c r="BG22" s="2">
        <v>610.68935813153053</v>
      </c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x14ac:dyDescent="0.35">
      <c r="A23" s="1" t="s">
        <v>39</v>
      </c>
      <c r="B23" s="1" t="s">
        <v>115</v>
      </c>
      <c r="C23" s="2">
        <f t="shared" si="0"/>
        <v>100</v>
      </c>
      <c r="D23" s="2">
        <f t="shared" si="1"/>
        <v>58.633987010094529</v>
      </c>
      <c r="E23" s="4">
        <f t="shared" si="2"/>
        <v>304.87071507020596</v>
      </c>
      <c r="F23" s="2">
        <f t="shared" si="3"/>
        <v>54.546790257292173</v>
      </c>
      <c r="G23" s="4">
        <f t="shared" si="4"/>
        <v>451.36719595104387</v>
      </c>
      <c r="H23" s="4">
        <f t="shared" si="5"/>
        <v>350.0905233238222</v>
      </c>
      <c r="I23" s="4"/>
      <c r="J23" s="2">
        <f t="shared" si="6"/>
        <v>942.68806357319556</v>
      </c>
      <c r="K23" s="2">
        <f t="shared" si="7"/>
        <v>14.078595816603281</v>
      </c>
      <c r="L23" s="1" t="s">
        <v>157</v>
      </c>
      <c r="M23" s="12" t="s">
        <v>142</v>
      </c>
      <c r="Q23" s="2">
        <v>125.70143722519092</v>
      </c>
      <c r="R23" s="2">
        <v>102.62014610354511</v>
      </c>
      <c r="S23" s="2">
        <v>71.678416671263989</v>
      </c>
      <c r="T23" s="2">
        <v>164.64328260161011</v>
      </c>
      <c r="U23" s="2">
        <v>74.273675936947257</v>
      </c>
      <c r="V23" s="2">
        <v>54.508391488393627</v>
      </c>
      <c r="W23" s="2">
        <v>102.23434407657066</v>
      </c>
      <c r="X23" s="2">
        <v>116.89214303163148</v>
      </c>
      <c r="Y23" s="2">
        <v>87.448162864846864</v>
      </c>
      <c r="Z23" s="2">
        <v>75.156020517663521</v>
      </c>
      <c r="AA23" s="2">
        <v>100.01905494905229</v>
      </c>
      <c r="AB23" s="2">
        <v>124.82492453328422</v>
      </c>
      <c r="AC23" s="2"/>
      <c r="AD23" s="2">
        <v>47.63058668326704</v>
      </c>
      <c r="AE23" s="2">
        <v>50.950269882618031</v>
      </c>
      <c r="AF23" s="2">
        <v>70.668127050770707</v>
      </c>
      <c r="AG23" s="2">
        <v>36.886854699281656</v>
      </c>
      <c r="AH23" s="2">
        <v>71.257081486870405</v>
      </c>
      <c r="AI23" s="2">
        <v>74.41100225775935</v>
      </c>
      <c r="AJ23" s="2"/>
      <c r="AK23" s="2">
        <v>177.3828470332015</v>
      </c>
      <c r="AL23" s="2">
        <v>299.46633292634289</v>
      </c>
      <c r="AM23" s="2">
        <v>145.6376262816558</v>
      </c>
      <c r="AN23" s="2">
        <v>335.20709337134514</v>
      </c>
      <c r="AO23" s="2">
        <v>443.56256310495507</v>
      </c>
      <c r="AP23" s="2">
        <v>427.96782770373545</v>
      </c>
      <c r="AQ23" s="2"/>
      <c r="AR23" s="2">
        <v>37.807759062995487</v>
      </c>
      <c r="AS23" s="2">
        <v>62.729255974469432</v>
      </c>
      <c r="AT23" s="2">
        <v>63.103355734411608</v>
      </c>
      <c r="AU23" s="2"/>
      <c r="AV23" s="2">
        <v>372.14910642863953</v>
      </c>
      <c r="AW23" s="2">
        <v>340.17781185531516</v>
      </c>
      <c r="AX23" s="2">
        <v>470.57702120912353</v>
      </c>
      <c r="AY23" s="2">
        <v>520.68073512896592</v>
      </c>
      <c r="AZ23" s="2">
        <v>553.25130513317538</v>
      </c>
      <c r="BA23" s="2"/>
      <c r="BB23" s="2">
        <v>437.67619354702197</v>
      </c>
      <c r="BC23" s="2">
        <v>341.34504285812363</v>
      </c>
      <c r="BD23" s="2">
        <v>487.41093981215619</v>
      </c>
      <c r="BE23" s="2">
        <v>252.26438349342806</v>
      </c>
      <c r="BF23" s="2">
        <v>158.79742046461928</v>
      </c>
      <c r="BG23" s="2">
        <v>423.04915976758377</v>
      </c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x14ac:dyDescent="0.35">
      <c r="A24" s="1" t="s">
        <v>41</v>
      </c>
      <c r="B24" s="1" t="s">
        <v>41</v>
      </c>
      <c r="C24" s="2">
        <f t="shared" si="0"/>
        <v>100</v>
      </c>
      <c r="D24" s="2">
        <f t="shared" si="1"/>
        <v>84.765986994164521</v>
      </c>
      <c r="E24" s="4">
        <f t="shared" si="2"/>
        <v>442.67907597923863</v>
      </c>
      <c r="F24" s="2">
        <f t="shared" si="3"/>
        <v>69.019682417580327</v>
      </c>
      <c r="G24" s="4">
        <f t="shared" si="4"/>
        <v>416.75317693909864</v>
      </c>
      <c r="H24" s="4">
        <f t="shared" si="5"/>
        <v>284.41951232984349</v>
      </c>
      <c r="I24" s="4"/>
      <c r="J24" s="2">
        <f t="shared" si="6"/>
        <v>936.79271799543972</v>
      </c>
      <c r="K24" s="24">
        <f t="shared" si="7"/>
        <v>23.502376592814972</v>
      </c>
      <c r="L24" s="1" t="s">
        <v>157</v>
      </c>
      <c r="M24" s="12" t="s">
        <v>142</v>
      </c>
      <c r="Q24" s="2">
        <v>99.868718386368329</v>
      </c>
      <c r="R24" s="2">
        <v>83.052233495062751</v>
      </c>
      <c r="S24" s="2">
        <v>117.07904811856895</v>
      </c>
      <c r="T24" s="2">
        <v>142.22892254713699</v>
      </c>
      <c r="U24" s="2">
        <v>87.92742796015979</v>
      </c>
      <c r="V24" s="2">
        <v>69.529223656922966</v>
      </c>
      <c r="W24" s="2">
        <v>112.08032897314791</v>
      </c>
      <c r="X24" s="2">
        <v>114.75756075497495</v>
      </c>
      <c r="Y24" s="2">
        <v>73.476536107657296</v>
      </c>
      <c r="Z24" s="2">
        <v>88.437422943311674</v>
      </c>
      <c r="AA24" s="2">
        <v>98.263022466787959</v>
      </c>
      <c r="AB24" s="2">
        <v>113.29955458990034</v>
      </c>
      <c r="AC24" s="2"/>
      <c r="AD24" s="2">
        <v>75.160816357089345</v>
      </c>
      <c r="AE24" s="2">
        <v>74.815977182079791</v>
      </c>
      <c r="AF24" s="2">
        <v>85.169218517871414</v>
      </c>
      <c r="AG24" s="2">
        <v>99.224451139047062</v>
      </c>
      <c r="AH24" s="2">
        <v>79.967493697802027</v>
      </c>
      <c r="AI24" s="2">
        <v>94.257965071097559</v>
      </c>
      <c r="AJ24" s="2"/>
      <c r="AK24" s="2">
        <v>498.65832156652823</v>
      </c>
      <c r="AL24" s="2">
        <v>268.58931808797092</v>
      </c>
      <c r="AM24" s="2">
        <v>380.60372544592434</v>
      </c>
      <c r="AN24" s="2">
        <v>502.59268888277774</v>
      </c>
      <c r="AO24" s="2">
        <v>553.89828928176655</v>
      </c>
      <c r="AP24" s="2">
        <v>451.73211261046373</v>
      </c>
      <c r="AQ24" s="2"/>
      <c r="AR24" s="2">
        <v>54.504604815825715</v>
      </c>
      <c r="AS24" s="2">
        <v>63.634138348350042</v>
      </c>
      <c r="AT24" s="2">
        <v>88.920304088565231</v>
      </c>
      <c r="AU24" s="2"/>
      <c r="AV24" s="2">
        <v>397.28541453773715</v>
      </c>
      <c r="AW24" s="2">
        <v>502.7916379950172</v>
      </c>
      <c r="AX24" s="2">
        <v>386.93345330287002</v>
      </c>
      <c r="AY24" s="2">
        <v>387.39595891284262</v>
      </c>
      <c r="AZ24" s="2">
        <v>409.3594199470262</v>
      </c>
      <c r="BA24" s="2"/>
      <c r="BB24" s="2">
        <v>280.49694171565881</v>
      </c>
      <c r="BC24" s="2">
        <v>217.95598864612165</v>
      </c>
      <c r="BD24" s="2">
        <v>304.88868225332322</v>
      </c>
      <c r="BE24" s="2">
        <v>314.10253720817127</v>
      </c>
      <c r="BF24" s="2">
        <v>319.96054155837595</v>
      </c>
      <c r="BG24" s="2">
        <v>269.11238259741003</v>
      </c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x14ac:dyDescent="0.35">
      <c r="A25" s="1" t="s">
        <v>42</v>
      </c>
      <c r="B25" s="1" t="s">
        <v>133</v>
      </c>
      <c r="C25" s="2">
        <f t="shared" si="0"/>
        <v>100</v>
      </c>
      <c r="D25" s="2">
        <f t="shared" si="1"/>
        <v>63.122233877893329</v>
      </c>
      <c r="E25" s="3">
        <f t="shared" si="2"/>
        <v>506.83933005590853</v>
      </c>
      <c r="F25" s="2">
        <f t="shared" si="3"/>
        <v>79.70334041381011</v>
      </c>
      <c r="G25" s="4">
        <f t="shared" si="4"/>
        <v>341.35993524350278</v>
      </c>
      <c r="H25" s="4">
        <f t="shared" si="5"/>
        <v>272.04732084051341</v>
      </c>
      <c r="I25" s="4"/>
      <c r="J25" s="2">
        <f t="shared" si="6"/>
        <v>881.13656489849427</v>
      </c>
      <c r="K25" s="24">
        <f t="shared" si="7"/>
        <v>19.111361759200324</v>
      </c>
      <c r="L25" s="12" t="s">
        <v>142</v>
      </c>
      <c r="M25" s="12" t="s">
        <v>142</v>
      </c>
      <c r="Q25" s="2">
        <v>91.03351353796559</v>
      </c>
      <c r="R25" s="2">
        <v>91.982025335135575</v>
      </c>
      <c r="S25" s="2">
        <v>116.98446112689886</v>
      </c>
      <c r="T25" s="2">
        <v>119.92557048678127</v>
      </c>
      <c r="U25" s="2">
        <v>112.97891884915168</v>
      </c>
      <c r="V25" s="2">
        <v>97.877131004260605</v>
      </c>
      <c r="W25" s="2">
        <v>103.14462277594241</v>
      </c>
      <c r="X25" s="2">
        <v>98.751405884379736</v>
      </c>
      <c r="Y25" s="2">
        <v>67.3223509994843</v>
      </c>
      <c r="Z25" s="2">
        <v>97.931391902262888</v>
      </c>
      <c r="AA25" s="2">
        <v>104.96679771091701</v>
      </c>
      <c r="AB25" s="2">
        <v>97.101810386820119</v>
      </c>
      <c r="AC25" s="2"/>
      <c r="AD25" s="2">
        <v>70.815268301948251</v>
      </c>
      <c r="AE25" s="2">
        <v>61.648444703244252</v>
      </c>
      <c r="AF25" s="2">
        <v>57.948007241856793</v>
      </c>
      <c r="AG25" s="2">
        <v>70.419848634577235</v>
      </c>
      <c r="AH25" s="2">
        <v>56.887472622663054</v>
      </c>
      <c r="AI25" s="2">
        <v>61.014361763070362</v>
      </c>
      <c r="AJ25" s="2"/>
      <c r="AK25" s="2">
        <v>547.43112876127122</v>
      </c>
      <c r="AL25" s="2">
        <v>258.32862314268192</v>
      </c>
      <c r="AM25" s="2">
        <v>286.5162146820291</v>
      </c>
      <c r="AN25" s="2">
        <v>668.7986874945492</v>
      </c>
      <c r="AO25" s="2">
        <v>706.49762890200702</v>
      </c>
      <c r="AP25" s="2">
        <v>573.46369735291262</v>
      </c>
      <c r="AQ25" s="2"/>
      <c r="AR25" s="2">
        <v>81.878236252799056</v>
      </c>
      <c r="AS25" s="2">
        <v>78.374645554012787</v>
      </c>
      <c r="AT25" s="2">
        <v>78.857139434618475</v>
      </c>
      <c r="AU25" s="2"/>
      <c r="AV25" s="2">
        <v>305.40610297150596</v>
      </c>
      <c r="AW25" s="2">
        <v>353.01464954907755</v>
      </c>
      <c r="AX25" s="2">
        <v>371.86792668972481</v>
      </c>
      <c r="AY25" s="2">
        <v>373.62424795095387</v>
      </c>
      <c r="AZ25" s="2">
        <v>302.88674905625152</v>
      </c>
      <c r="BA25" s="2"/>
      <c r="BB25" s="2">
        <v>274.2342849284035</v>
      </c>
      <c r="BC25" s="2">
        <v>249.04119482536487</v>
      </c>
      <c r="BD25" s="2">
        <v>297.05384953859379</v>
      </c>
      <c r="BE25" s="2">
        <v>304.59462339439563</v>
      </c>
      <c r="BF25" s="2">
        <v>228.63053824728078</v>
      </c>
      <c r="BG25" s="2">
        <v>278.72943410904185</v>
      </c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 x14ac:dyDescent="0.35">
      <c r="A26" s="1" t="s">
        <v>44</v>
      </c>
      <c r="B26" s="1" t="s">
        <v>132</v>
      </c>
      <c r="C26" s="2">
        <f t="shared" si="0"/>
        <v>100</v>
      </c>
      <c r="D26" s="2">
        <f t="shared" si="1"/>
        <v>92.451052586708556</v>
      </c>
      <c r="E26" s="4">
        <f t="shared" si="2"/>
        <v>351.1404313450376</v>
      </c>
      <c r="F26" s="2">
        <f t="shared" si="3"/>
        <v>71.738735245487305</v>
      </c>
      <c r="G26" s="4">
        <f t="shared" si="4"/>
        <v>378.10315890049179</v>
      </c>
      <c r="H26" s="4">
        <f t="shared" si="5"/>
        <v>325.34066362987005</v>
      </c>
      <c r="I26" s="4"/>
      <c r="J26" s="2">
        <f t="shared" si="6"/>
        <v>839.36804813893764</v>
      </c>
      <c r="K26" s="2">
        <f t="shared" si="7"/>
        <v>9.8559173251963319</v>
      </c>
      <c r="L26" s="1" t="s">
        <v>157</v>
      </c>
      <c r="M26" s="12" t="s">
        <v>142</v>
      </c>
      <c r="Q26" s="2">
        <v>121.0761731853263</v>
      </c>
      <c r="R26" s="2">
        <v>135.87738383187079</v>
      </c>
      <c r="S26" s="2">
        <v>43.046442982802894</v>
      </c>
      <c r="T26" s="2">
        <v>80.230250683463368</v>
      </c>
      <c r="U26" s="2">
        <v>118.30280361213873</v>
      </c>
      <c r="V26" s="2">
        <v>133.34094433523219</v>
      </c>
      <c r="W26" s="2">
        <v>100.34021061821979</v>
      </c>
      <c r="X26" s="2">
        <v>117.9615701867982</v>
      </c>
      <c r="Y26" s="2">
        <v>49.824220564147815</v>
      </c>
      <c r="Z26" s="2">
        <v>104.50731833647562</v>
      </c>
      <c r="AA26" s="2">
        <v>111.07261109596683</v>
      </c>
      <c r="AB26" s="2">
        <v>84.420070567557516</v>
      </c>
      <c r="AC26" s="2"/>
      <c r="AD26" s="2">
        <v>109.30182921636487</v>
      </c>
      <c r="AE26" s="2">
        <v>84.26163128597338</v>
      </c>
      <c r="AF26" s="2">
        <v>86.069731668417305</v>
      </c>
      <c r="AG26" s="2">
        <v>109.30999002084904</v>
      </c>
      <c r="AH26" s="2">
        <v>74.457911267244185</v>
      </c>
      <c r="AI26" s="2">
        <v>91.305222061402603</v>
      </c>
      <c r="AJ26" s="2"/>
      <c r="AK26" s="2">
        <v>317.45201942138942</v>
      </c>
      <c r="AL26" s="2">
        <v>190.77397432831336</v>
      </c>
      <c r="AM26" s="2">
        <v>208.31283773121311</v>
      </c>
      <c r="AN26" s="2">
        <v>303.3985589592906</v>
      </c>
      <c r="AO26" s="2">
        <v>559.64742985619591</v>
      </c>
      <c r="AP26" s="2">
        <v>527.25776777382339</v>
      </c>
      <c r="AQ26" s="2"/>
      <c r="AR26" s="2">
        <v>61.946338508801681</v>
      </c>
      <c r="AS26" s="2">
        <v>88.233082316998392</v>
      </c>
      <c r="AT26" s="2">
        <v>65.036784910661837</v>
      </c>
      <c r="AU26" s="2"/>
      <c r="AV26" s="2">
        <v>226.20083321440234</v>
      </c>
      <c r="AW26" s="2">
        <v>145.76453611633946</v>
      </c>
      <c r="AX26" s="2">
        <v>524.47796914522439</v>
      </c>
      <c r="AY26" s="2">
        <v>541.98115721299348</v>
      </c>
      <c r="AZ26" s="2">
        <v>452.09129881349924</v>
      </c>
      <c r="BA26" s="2"/>
      <c r="BB26" s="2">
        <v>417.92846464046266</v>
      </c>
      <c r="BC26" s="2">
        <v>304.35105510794131</v>
      </c>
      <c r="BD26" s="2">
        <v>465.68105217537868</v>
      </c>
      <c r="BE26" s="2">
        <v>192.64440509213651</v>
      </c>
      <c r="BF26" s="2">
        <v>197.87048337709524</v>
      </c>
      <c r="BG26" s="2">
        <v>373.56852138620565</v>
      </c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x14ac:dyDescent="0.35">
      <c r="A27" s="1" t="s">
        <v>28</v>
      </c>
      <c r="B27" s="1" t="s">
        <v>28</v>
      </c>
      <c r="C27" s="2">
        <f t="shared" si="0"/>
        <v>100</v>
      </c>
      <c r="D27" s="2">
        <f t="shared" si="1"/>
        <v>109.07226749625734</v>
      </c>
      <c r="E27" s="4">
        <f t="shared" si="2"/>
        <v>271.49485301966001</v>
      </c>
      <c r="F27" s="2">
        <f t="shared" si="3"/>
        <v>37.846637478767853</v>
      </c>
      <c r="G27" s="4">
        <f t="shared" si="4"/>
        <v>344.98399582561206</v>
      </c>
      <c r="H27" s="4">
        <f t="shared" si="5"/>
        <v>272.84683047380992</v>
      </c>
      <c r="I27" s="4"/>
      <c r="J27" s="2">
        <f t="shared" si="6"/>
        <v>775.78576688277838</v>
      </c>
      <c r="K27" s="24">
        <f t="shared" si="7"/>
        <v>23.867724309487869</v>
      </c>
      <c r="L27" s="1" t="s">
        <v>157</v>
      </c>
      <c r="M27" s="12" t="s">
        <v>142</v>
      </c>
      <c r="Q27" s="2">
        <v>100.5989170485926</v>
      </c>
      <c r="R27" s="2">
        <v>77.070806559021079</v>
      </c>
      <c r="S27" s="2">
        <v>122.33027639238631</v>
      </c>
      <c r="T27" s="2">
        <v>139.46568822905505</v>
      </c>
      <c r="U27" s="2">
        <v>90.096830001109851</v>
      </c>
      <c r="V27" s="2">
        <v>76.166541667220727</v>
      </c>
      <c r="W27" s="2">
        <v>101.37288512511732</v>
      </c>
      <c r="X27" s="2">
        <v>98.690551832620571</v>
      </c>
      <c r="Y27" s="2">
        <v>94.20750314487654</v>
      </c>
      <c r="Z27" s="2">
        <v>88.597264628601081</v>
      </c>
      <c r="AA27" s="2">
        <v>105.0977063517868</v>
      </c>
      <c r="AB27" s="2">
        <v>106.30502901961208</v>
      </c>
      <c r="AC27" s="2"/>
      <c r="AD27" s="2">
        <v>81.383863324898073</v>
      </c>
      <c r="AE27" s="2">
        <v>94.018386881372138</v>
      </c>
      <c r="AF27" s="2">
        <v>88.727643479859708</v>
      </c>
      <c r="AG27" s="2">
        <v>123.77258583153032</v>
      </c>
      <c r="AH27" s="2">
        <v>138.6534589471386</v>
      </c>
      <c r="AI27" s="2">
        <v>127.87766651274528</v>
      </c>
      <c r="AJ27" s="2"/>
      <c r="AK27" s="2">
        <v>246.74189668259763</v>
      </c>
      <c r="AL27" s="2">
        <v>195.75484408803351</v>
      </c>
      <c r="AM27" s="2">
        <v>220.00775332070216</v>
      </c>
      <c r="AN27" s="2">
        <v>340.18323453672258</v>
      </c>
      <c r="AO27" s="2">
        <v>357.607230674449</v>
      </c>
      <c r="AP27" s="2">
        <v>268.67415881545537</v>
      </c>
      <c r="AQ27" s="2"/>
      <c r="AR27" s="2">
        <v>38.505035439466369</v>
      </c>
      <c r="AS27" s="2">
        <v>34.344627863567808</v>
      </c>
      <c r="AT27" s="2">
        <v>40.690249133269383</v>
      </c>
      <c r="AU27" s="2"/>
      <c r="AV27" s="2">
        <v>342.29079763279555</v>
      </c>
      <c r="AW27" s="2">
        <v>290.56000736175531</v>
      </c>
      <c r="AX27" s="2">
        <v>388.19821725603072</v>
      </c>
      <c r="AY27" s="2">
        <v>410.1444800719803</v>
      </c>
      <c r="AZ27" s="2">
        <v>293.72647680549841</v>
      </c>
      <c r="BA27" s="2"/>
      <c r="BB27" s="2">
        <v>279.08468376727802</v>
      </c>
      <c r="BC27" s="2">
        <v>279.30730311576019</v>
      </c>
      <c r="BD27" s="2">
        <v>231.89820011592764</v>
      </c>
      <c r="BE27" s="2">
        <v>274.7641821091737</v>
      </c>
      <c r="BF27" s="2">
        <v>322.72195441938322</v>
      </c>
      <c r="BG27" s="2">
        <v>249.30465931533647</v>
      </c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x14ac:dyDescent="0.35">
      <c r="A28" s="1" t="s">
        <v>46</v>
      </c>
      <c r="B28" s="1" t="s">
        <v>112</v>
      </c>
      <c r="C28" s="2">
        <f t="shared" si="0"/>
        <v>99.999999999999986</v>
      </c>
      <c r="D28" s="2">
        <f t="shared" si="1"/>
        <v>126.42745856544168</v>
      </c>
      <c r="E28" s="4">
        <f t="shared" si="2"/>
        <v>226.9199872935416</v>
      </c>
      <c r="F28" s="2">
        <f t="shared" si="3"/>
        <v>69.437167589703179</v>
      </c>
      <c r="G28" s="4">
        <f t="shared" si="4"/>
        <v>421.4169958692238</v>
      </c>
      <c r="H28" s="4">
        <f t="shared" si="5"/>
        <v>315.09093409085608</v>
      </c>
      <c r="I28" s="4"/>
      <c r="J28" s="2">
        <f t="shared" si="6"/>
        <v>755.11641448451189</v>
      </c>
      <c r="K28" s="2">
        <f t="shared" si="7"/>
        <v>12.319607175598685</v>
      </c>
      <c r="L28" s="4" t="s">
        <v>157</v>
      </c>
      <c r="M28" s="12" t="s">
        <v>142</v>
      </c>
      <c r="Q28" s="2">
        <v>130.43107465844724</v>
      </c>
      <c r="R28" s="2">
        <v>114.48445656286336</v>
      </c>
      <c r="S28" s="2">
        <v>55.084468778689406</v>
      </c>
      <c r="T28" s="2">
        <v>76.517619132549854</v>
      </c>
      <c r="U28" s="2">
        <v>76.883831295445404</v>
      </c>
      <c r="V28" s="2">
        <v>139.11927840597463</v>
      </c>
      <c r="W28" s="2">
        <v>99.149353160854162</v>
      </c>
      <c r="X28" s="2">
        <v>105.93314778898466</v>
      </c>
      <c r="Y28" s="2">
        <v>102.39677021619131</v>
      </c>
      <c r="Z28" s="2">
        <v>86.028084988173092</v>
      </c>
      <c r="AA28" s="2">
        <v>100.66564284588239</v>
      </c>
      <c r="AB28" s="2">
        <v>113.30627216594448</v>
      </c>
      <c r="AC28" s="2"/>
      <c r="AD28" s="2">
        <v>112.81719039162324</v>
      </c>
      <c r="AE28" s="2">
        <v>98.75873414776683</v>
      </c>
      <c r="AF28" s="2">
        <v>124.24202502821385</v>
      </c>
      <c r="AG28" s="2">
        <v>143.75357825541082</v>
      </c>
      <c r="AH28" s="2">
        <v>123.90768618373798</v>
      </c>
      <c r="AI28" s="2">
        <v>155.08553738589745</v>
      </c>
      <c r="AJ28" s="2"/>
      <c r="AK28" s="2">
        <v>286.2317847732603</v>
      </c>
      <c r="AL28" s="2">
        <v>116.48695484245573</v>
      </c>
      <c r="AM28" s="2">
        <v>97.100142502412609</v>
      </c>
      <c r="AN28" s="2">
        <v>179.42760695516159</v>
      </c>
      <c r="AO28" s="2">
        <v>271.80312085835527</v>
      </c>
      <c r="AP28" s="2">
        <v>410.47031382960421</v>
      </c>
      <c r="AQ28" s="2"/>
      <c r="AR28" s="2">
        <v>60.752755247909271</v>
      </c>
      <c r="AS28" s="2">
        <v>71.759880084538693</v>
      </c>
      <c r="AT28" s="2">
        <v>75.798867436661581</v>
      </c>
      <c r="AU28" s="2"/>
      <c r="AV28" s="2">
        <v>315.95768981189821</v>
      </c>
      <c r="AW28" s="2">
        <v>310.68287965287044</v>
      </c>
      <c r="AX28" s="2">
        <v>515.64987069874815</v>
      </c>
      <c r="AY28" s="2">
        <v>548.99555165659433</v>
      </c>
      <c r="AZ28" s="2">
        <v>415.79898752600786</v>
      </c>
      <c r="BA28" s="2"/>
      <c r="BB28" s="2">
        <v>399.23118660073277</v>
      </c>
      <c r="BC28" s="2">
        <v>403.89289976249131</v>
      </c>
      <c r="BD28" s="2">
        <v>361.79689168029239</v>
      </c>
      <c r="BE28" s="2">
        <v>187.98079078564678</v>
      </c>
      <c r="BF28" s="2">
        <v>259.71451027337827</v>
      </c>
      <c r="BG28" s="2">
        <v>277.92932544259497</v>
      </c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 x14ac:dyDescent="0.35">
      <c r="A29" s="1" t="s">
        <v>48</v>
      </c>
      <c r="B29" s="1" t="s">
        <v>48</v>
      </c>
      <c r="C29" s="2">
        <f t="shared" si="0"/>
        <v>100</v>
      </c>
      <c r="D29" s="2">
        <f t="shared" si="1"/>
        <v>116.11152991847455</v>
      </c>
      <c r="E29" s="4">
        <f t="shared" si="2"/>
        <v>269.14698291593413</v>
      </c>
      <c r="F29" s="2">
        <f t="shared" si="3"/>
        <v>62.36233693806178</v>
      </c>
      <c r="G29" s="4">
        <f t="shared" si="4"/>
        <v>309.17646745933791</v>
      </c>
      <c r="H29" s="4">
        <f t="shared" si="5"/>
        <v>336.87730234664787</v>
      </c>
      <c r="I29" s="4"/>
      <c r="J29" s="2">
        <f t="shared" si="6"/>
        <v>728.11374190773461</v>
      </c>
      <c r="K29" s="24">
        <f t="shared" si="7"/>
        <v>16.406682481837112</v>
      </c>
      <c r="L29" s="13" t="s">
        <v>142</v>
      </c>
      <c r="M29" s="12" t="s">
        <v>142</v>
      </c>
      <c r="Q29" s="2">
        <v>104.41890263721515</v>
      </c>
      <c r="R29" s="2">
        <v>112.94656661702091</v>
      </c>
      <c r="S29" s="2">
        <v>82.634530745763925</v>
      </c>
      <c r="T29" s="2">
        <v>130.37569345583736</v>
      </c>
      <c r="U29" s="2">
        <v>104.43981752861522</v>
      </c>
      <c r="V29" s="2">
        <v>84.502941631261038</v>
      </c>
      <c r="W29" s="2">
        <v>129.48308755718287</v>
      </c>
      <c r="X29" s="2">
        <v>91.384914015480263</v>
      </c>
      <c r="Y29" s="2">
        <v>59.81354581162325</v>
      </c>
      <c r="Z29" s="2">
        <v>89.367299685375073</v>
      </c>
      <c r="AA29" s="2">
        <v>100.03515880879158</v>
      </c>
      <c r="AB29" s="2">
        <v>110.59754150583333</v>
      </c>
      <c r="AC29" s="2"/>
      <c r="AD29" s="2">
        <v>91.698539787925881</v>
      </c>
      <c r="AE29" s="2">
        <v>102.52816292199024</v>
      </c>
      <c r="AF29" s="2">
        <v>114.55573086369373</v>
      </c>
      <c r="AG29" s="2">
        <v>115.07974605214974</v>
      </c>
      <c r="AH29" s="2">
        <v>133.61279459883275</v>
      </c>
      <c r="AI29" s="2">
        <v>139.1942052862548</v>
      </c>
      <c r="AJ29" s="2"/>
      <c r="AK29" s="2">
        <v>124.48991109947363</v>
      </c>
      <c r="AL29" s="2">
        <v>129.3135708373091</v>
      </c>
      <c r="AM29" s="2">
        <v>185.45772723009821</v>
      </c>
      <c r="AN29" s="2">
        <v>315.49316960629142</v>
      </c>
      <c r="AO29" s="2">
        <v>443.62279522606843</v>
      </c>
      <c r="AP29" s="2">
        <v>416.50472349636414</v>
      </c>
      <c r="AQ29" s="2"/>
      <c r="AR29" s="2">
        <v>55.726661031602703</v>
      </c>
      <c r="AS29" s="2">
        <v>59.214868144863217</v>
      </c>
      <c r="AT29" s="2">
        <v>72.145481637719413</v>
      </c>
      <c r="AU29" s="2"/>
      <c r="AV29" s="2">
        <v>274.47113213864782</v>
      </c>
      <c r="AW29" s="2">
        <v>305.28990511933046</v>
      </c>
      <c r="AX29" s="2">
        <v>327.63295298374288</v>
      </c>
      <c r="AY29" s="2">
        <v>308.20056963720816</v>
      </c>
      <c r="AZ29" s="2">
        <v>330.28777741775997</v>
      </c>
      <c r="BA29" s="2"/>
      <c r="BB29" s="2">
        <v>254.01485344614346</v>
      </c>
      <c r="BC29" s="2">
        <v>350.73971174353113</v>
      </c>
      <c r="BD29" s="2">
        <v>371.08288574241169</v>
      </c>
      <c r="BE29" s="2">
        <v>360.5806551981143</v>
      </c>
      <c r="BF29" s="2">
        <v>287.89116143539394</v>
      </c>
      <c r="BG29" s="2">
        <v>396.95454651429259</v>
      </c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x14ac:dyDescent="0.35">
      <c r="A30" s="1" t="s">
        <v>45</v>
      </c>
      <c r="B30" s="1" t="s">
        <v>45</v>
      </c>
      <c r="C30" s="2">
        <f t="shared" si="0"/>
        <v>100.00000000000001</v>
      </c>
      <c r="D30" s="2">
        <f t="shared" si="1"/>
        <v>70.263203263286229</v>
      </c>
      <c r="E30" s="4">
        <f t="shared" si="2"/>
        <v>306.57035059241542</v>
      </c>
      <c r="F30" s="2">
        <f t="shared" si="3"/>
        <v>155.63999166343623</v>
      </c>
      <c r="G30" s="3">
        <f t="shared" si="4"/>
        <v>588.81867210857536</v>
      </c>
      <c r="H30" s="4">
        <f t="shared" si="5"/>
        <v>288.24365879975841</v>
      </c>
      <c r="I30" s="4"/>
      <c r="J30" s="2">
        <f t="shared" si="6"/>
        <v>716.71270651044051</v>
      </c>
      <c r="K30" s="2">
        <f t="shared" si="7"/>
        <v>9.7921753839567902</v>
      </c>
      <c r="L30" s="4" t="s">
        <v>157</v>
      </c>
      <c r="M30" s="31" t="s">
        <v>157</v>
      </c>
      <c r="Q30" s="2">
        <v>170.91170546386749</v>
      </c>
      <c r="R30" s="2">
        <v>93.926776639873296</v>
      </c>
      <c r="S30" s="2">
        <v>35.161517896259198</v>
      </c>
      <c r="T30" s="2">
        <v>112.59450719471359</v>
      </c>
      <c r="U30" s="2">
        <v>114.61096565414523</v>
      </c>
      <c r="V30" s="2">
        <v>74.553244816708741</v>
      </c>
      <c r="W30" s="2">
        <v>125.56152888133708</v>
      </c>
      <c r="X30" s="2">
        <v>131.96273220538043</v>
      </c>
      <c r="Y30" s="2">
        <v>40.717021247714968</v>
      </c>
      <c r="Z30" s="2">
        <v>51.831278584813717</v>
      </c>
      <c r="AA30" s="2">
        <v>102.69340852370897</v>
      </c>
      <c r="AB30" s="2">
        <v>145.47531289147733</v>
      </c>
      <c r="AC30" s="2"/>
      <c r="AD30" s="2">
        <v>54.936099064735075</v>
      </c>
      <c r="AE30" s="2">
        <v>74.388965247777733</v>
      </c>
      <c r="AF30" s="2">
        <v>91.794409476158449</v>
      </c>
      <c r="AG30" s="2">
        <v>59.812960272759938</v>
      </c>
      <c r="AH30" s="2">
        <v>56.722162214739164</v>
      </c>
      <c r="AI30" s="2">
        <v>83.924623303547023</v>
      </c>
      <c r="AJ30" s="2"/>
      <c r="AK30" s="2">
        <v>362.58707671320911</v>
      </c>
      <c r="AL30" s="2">
        <v>184.19510134098994</v>
      </c>
      <c r="AM30" s="2">
        <v>354.12309302504451</v>
      </c>
      <c r="AN30" s="2">
        <v>322.95148239144788</v>
      </c>
      <c r="AO30" s="2">
        <v>382.53572476713396</v>
      </c>
      <c r="AP30" s="2">
        <v>233.02962531666719</v>
      </c>
      <c r="AQ30" s="2"/>
      <c r="AR30" s="2">
        <v>80.291627867025625</v>
      </c>
      <c r="AS30" s="2">
        <v>158.10362444037978</v>
      </c>
      <c r="AT30" s="2">
        <v>228.52472268290333</v>
      </c>
      <c r="AU30" s="2"/>
      <c r="AV30" s="2">
        <v>695.25398635688055</v>
      </c>
      <c r="AW30" s="2">
        <v>720.24708427038479</v>
      </c>
      <c r="AX30" s="2">
        <v>646.06879508388351</v>
      </c>
      <c r="AY30" s="2">
        <v>444.93884280578413</v>
      </c>
      <c r="AZ30" s="2">
        <v>437.5846520259438</v>
      </c>
      <c r="BA30" s="2"/>
      <c r="BB30" s="2">
        <v>431.16959663085146</v>
      </c>
      <c r="BC30" s="2">
        <v>253.80249109340454</v>
      </c>
      <c r="BD30" s="2">
        <v>238.69602680999711</v>
      </c>
      <c r="BE30" s="2">
        <v>268.38457032282889</v>
      </c>
      <c r="BF30" s="2">
        <v>355.89349427088695</v>
      </c>
      <c r="BG30" s="2">
        <v>181.51577367058152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 x14ac:dyDescent="0.35">
      <c r="A31" s="1" t="s">
        <v>15</v>
      </c>
      <c r="B31" s="1" t="s">
        <v>15</v>
      </c>
      <c r="C31" s="2">
        <f t="shared" si="0"/>
        <v>100</v>
      </c>
      <c r="D31" s="2">
        <f t="shared" si="1"/>
        <v>79.149367498382887</v>
      </c>
      <c r="E31" s="4">
        <f t="shared" si="2"/>
        <v>291.65230751269661</v>
      </c>
      <c r="F31" s="2">
        <f t="shared" si="3"/>
        <v>115.71580598970797</v>
      </c>
      <c r="G31" s="4">
        <f t="shared" si="4"/>
        <v>459.49051865282127</v>
      </c>
      <c r="H31" s="4">
        <f t="shared" si="5"/>
        <v>282.30032228472663</v>
      </c>
      <c r="I31" s="4"/>
      <c r="J31" s="2">
        <f t="shared" si="6"/>
        <v>686.29573048112059</v>
      </c>
      <c r="K31" s="24">
        <f t="shared" si="7"/>
        <v>24.221183025701201</v>
      </c>
      <c r="L31" s="4" t="s">
        <v>157</v>
      </c>
      <c r="M31" s="12" t="s">
        <v>142</v>
      </c>
      <c r="Q31" s="2">
        <v>92.012207348892375</v>
      </c>
      <c r="R31" s="2">
        <v>125.27741260576772</v>
      </c>
      <c r="S31" s="2">
        <v>82.710380045339875</v>
      </c>
      <c r="T31" s="2">
        <v>92.088186070325563</v>
      </c>
      <c r="U31" s="2">
        <v>111.4360654126296</v>
      </c>
      <c r="V31" s="2">
        <v>68.494735004695599</v>
      </c>
      <c r="W31" s="2">
        <v>133.2543003678376</v>
      </c>
      <c r="X31" s="2">
        <v>87.279833711550737</v>
      </c>
      <c r="Y31" s="2">
        <v>107.44687943296086</v>
      </c>
      <c r="Z31" s="2">
        <v>91.340401608732762</v>
      </c>
      <c r="AA31" s="2">
        <v>88.405480513218563</v>
      </c>
      <c r="AB31" s="2">
        <v>120.25411787804866</v>
      </c>
      <c r="AC31" s="2"/>
      <c r="AD31" s="2">
        <v>83.837122513572297</v>
      </c>
      <c r="AE31" s="2">
        <v>92.883139922061289</v>
      </c>
      <c r="AF31" s="2">
        <v>81.716841612829512</v>
      </c>
      <c r="AG31" s="2">
        <v>68.794862653203253</v>
      </c>
      <c r="AH31" s="2">
        <v>69.95606983481386</v>
      </c>
      <c r="AI31" s="2">
        <v>77.708168453817123</v>
      </c>
      <c r="AJ31" s="2"/>
      <c r="AK31" s="2">
        <v>281.790310768513</v>
      </c>
      <c r="AL31" s="2">
        <v>290.72516084266482</v>
      </c>
      <c r="AM31" s="2">
        <v>217.63378473645517</v>
      </c>
      <c r="AN31" s="2">
        <v>332.18293600774558</v>
      </c>
      <c r="AO31" s="2">
        <v>303.33987176841936</v>
      </c>
      <c r="AP31" s="2">
        <v>324.24178095238176</v>
      </c>
      <c r="AQ31" s="2"/>
      <c r="AR31" s="2">
        <v>120.82996834807916</v>
      </c>
      <c r="AS31" s="2">
        <v>96.344233291069443</v>
      </c>
      <c r="AT31" s="2">
        <v>129.97321632997534</v>
      </c>
      <c r="AU31" s="2"/>
      <c r="AV31" s="2">
        <v>467.68882986352821</v>
      </c>
      <c r="AW31" s="2">
        <v>485.84561719421794</v>
      </c>
      <c r="AX31" s="2">
        <v>457.59019067314642</v>
      </c>
      <c r="AY31" s="2">
        <v>482.10587612238646</v>
      </c>
      <c r="AZ31" s="2">
        <v>404.22207941082729</v>
      </c>
      <c r="BA31" s="2"/>
      <c r="BB31" s="2">
        <v>322.92258184992994</v>
      </c>
      <c r="BC31" s="2">
        <v>323.67201012924932</v>
      </c>
      <c r="BD31" s="2">
        <v>310.92501367743392</v>
      </c>
      <c r="BE31" s="2">
        <v>229.57111935631676</v>
      </c>
      <c r="BF31" s="2">
        <v>208.73996197846762</v>
      </c>
      <c r="BG31" s="2">
        <v>297.9712467169619</v>
      </c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 x14ac:dyDescent="0.35">
      <c r="A32" s="1" t="s">
        <v>13</v>
      </c>
      <c r="B32" s="1" t="s">
        <v>114</v>
      </c>
      <c r="C32" s="2">
        <f t="shared" si="0"/>
        <v>100</v>
      </c>
      <c r="D32" s="2">
        <f t="shared" si="1"/>
        <v>79.477737446491219</v>
      </c>
      <c r="E32" s="4">
        <f t="shared" si="2"/>
        <v>333.00271413855972</v>
      </c>
      <c r="F32" s="2">
        <f t="shared" si="3"/>
        <v>117.86594742227464</v>
      </c>
      <c r="G32" s="4">
        <f t="shared" si="4"/>
        <v>393.84559689452487</v>
      </c>
      <c r="H32" s="4">
        <f t="shared" si="5"/>
        <v>311.67449992475355</v>
      </c>
      <c r="I32" s="4"/>
      <c r="J32" s="2">
        <f t="shared" si="6"/>
        <v>684.92496869101421</v>
      </c>
      <c r="K32" s="24">
        <f t="shared" si="7"/>
        <v>23.662789074568334</v>
      </c>
      <c r="L32" s="13" t="s">
        <v>142</v>
      </c>
      <c r="M32" s="12" t="s">
        <v>142</v>
      </c>
      <c r="Q32" s="2">
        <v>92.881148813554034</v>
      </c>
      <c r="R32" s="2">
        <v>110.85325615567149</v>
      </c>
      <c r="S32" s="2">
        <v>96.265595030774477</v>
      </c>
      <c r="T32" s="2">
        <v>102.85262775297771</v>
      </c>
      <c r="U32" s="2">
        <v>98.676077688076148</v>
      </c>
      <c r="V32" s="2">
        <v>95.858932342637672</v>
      </c>
      <c r="W32" s="2">
        <v>119.60457368667761</v>
      </c>
      <c r="X32" s="2">
        <v>81.817926971501208</v>
      </c>
      <c r="Y32" s="2">
        <v>101.18986155812965</v>
      </c>
      <c r="Z32" s="2">
        <v>84.276781722745326</v>
      </c>
      <c r="AA32" s="2">
        <v>107.22316681222536</v>
      </c>
      <c r="AB32" s="2">
        <v>108.50005146502932</v>
      </c>
      <c r="AC32" s="2"/>
      <c r="AD32" s="2">
        <v>72.125911462917642</v>
      </c>
      <c r="AE32" s="2">
        <v>75.059154764871366</v>
      </c>
      <c r="AF32" s="2">
        <v>86.67981740133537</v>
      </c>
      <c r="AG32" s="2">
        <v>88.650183156300429</v>
      </c>
      <c r="AH32" s="2">
        <v>82.734806912815927</v>
      </c>
      <c r="AI32" s="2">
        <v>71.616550980706521</v>
      </c>
      <c r="AJ32" s="2"/>
      <c r="AK32" s="2">
        <v>308.00739135904797</v>
      </c>
      <c r="AL32" s="2">
        <v>307.34471723849839</v>
      </c>
      <c r="AM32" s="2">
        <v>379.57802356574928</v>
      </c>
      <c r="AN32" s="2">
        <v>347.06957505419462</v>
      </c>
      <c r="AO32" s="2">
        <v>365.33619162579595</v>
      </c>
      <c r="AP32" s="2">
        <v>290.68038598807226</v>
      </c>
      <c r="AQ32" s="2"/>
      <c r="AR32" s="2">
        <v>114.47023320932817</v>
      </c>
      <c r="AS32" s="2">
        <v>121.551207140362</v>
      </c>
      <c r="AT32" s="2">
        <v>117.57640191713372</v>
      </c>
      <c r="AU32" s="2"/>
      <c r="AV32" s="2">
        <v>383.30828593829813</v>
      </c>
      <c r="AW32" s="2">
        <v>536.47417869859873</v>
      </c>
      <c r="AX32" s="2">
        <v>331.85059539755218</v>
      </c>
      <c r="AY32" s="2">
        <v>344.5375549505298</v>
      </c>
      <c r="AZ32" s="2">
        <v>373.05736948764542</v>
      </c>
      <c r="BA32" s="2"/>
      <c r="BB32" s="2">
        <v>326.95403006298289</v>
      </c>
      <c r="BC32" s="2">
        <v>303.02308662250368</v>
      </c>
      <c r="BD32" s="2">
        <v>309.97599193632135</v>
      </c>
      <c r="BE32" s="2">
        <v>271.21297496257398</v>
      </c>
      <c r="BF32" s="2">
        <v>368.00793954915224</v>
      </c>
      <c r="BG32" s="2">
        <v>290.87297641498691</v>
      </c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 x14ac:dyDescent="0.35">
      <c r="A33" s="1" t="s">
        <v>51</v>
      </c>
      <c r="B33" s="1" t="s">
        <v>138</v>
      </c>
      <c r="C33" s="2">
        <f t="shared" si="0"/>
        <v>100</v>
      </c>
      <c r="D33" s="2">
        <f t="shared" si="1"/>
        <v>97.874983652894016</v>
      </c>
      <c r="E33" s="4">
        <f t="shared" si="2"/>
        <v>382.55926396673641</v>
      </c>
      <c r="F33" s="2">
        <f t="shared" si="3"/>
        <v>121.20927965719403</v>
      </c>
      <c r="G33" s="4">
        <f t="shared" si="4"/>
        <v>353.72558451280207</v>
      </c>
      <c r="H33" s="4">
        <f t="shared" si="5"/>
        <v>253.4476786574206</v>
      </c>
      <c r="I33" s="4"/>
      <c r="J33" s="2">
        <f t="shared" si="6"/>
        <v>626.10468816537696</v>
      </c>
      <c r="K33" s="2">
        <f t="shared" si="7"/>
        <v>11.551182090775821</v>
      </c>
      <c r="L33" s="13" t="s">
        <v>142</v>
      </c>
      <c r="M33" s="12" t="s">
        <v>142</v>
      </c>
      <c r="Q33" s="2">
        <v>109.4152358589002</v>
      </c>
      <c r="R33" s="2">
        <v>112.48918510120383</v>
      </c>
      <c r="S33" s="2">
        <v>78.095579039895952</v>
      </c>
      <c r="T33" s="2">
        <v>120.62717979259844</v>
      </c>
      <c r="U33" s="2">
        <v>107.63838902655597</v>
      </c>
      <c r="V33" s="2">
        <v>93.727338475736943</v>
      </c>
      <c r="W33" s="2">
        <v>88.80602451190299</v>
      </c>
      <c r="X33" s="2">
        <v>124.2876175972546</v>
      </c>
      <c r="Y33" s="2">
        <v>64.913450595950962</v>
      </c>
      <c r="Z33" s="2">
        <v>94.847519987855179</v>
      </c>
      <c r="AA33" s="2">
        <v>86.335173216195599</v>
      </c>
      <c r="AB33" s="2">
        <v>118.81730679594925</v>
      </c>
      <c r="AC33" s="2"/>
      <c r="AD33" s="2">
        <v>92.228549210683923</v>
      </c>
      <c r="AE33" s="2">
        <v>88.21540064574944</v>
      </c>
      <c r="AF33" s="2">
        <v>94.776116138529403</v>
      </c>
      <c r="AG33" s="2">
        <v>109.40401131852484</v>
      </c>
      <c r="AH33" s="2">
        <v>89.987787940386468</v>
      </c>
      <c r="AI33" s="2">
        <v>112.63803666349007</v>
      </c>
      <c r="AJ33" s="2"/>
      <c r="AK33" s="2">
        <v>227.14258235414496</v>
      </c>
      <c r="AL33" s="2">
        <v>255.94314624928569</v>
      </c>
      <c r="AM33" s="2">
        <v>201.36105068200467</v>
      </c>
      <c r="AN33" s="2">
        <v>398.65500943010784</v>
      </c>
      <c r="AO33" s="2">
        <v>701.33988382288351</v>
      </c>
      <c r="AP33" s="2">
        <v>510.91391126199193</v>
      </c>
      <c r="AQ33" s="2"/>
      <c r="AR33" s="2">
        <v>110.08360726446834</v>
      </c>
      <c r="AS33" s="2">
        <v>140.89889002780467</v>
      </c>
      <c r="AT33" s="2">
        <v>112.64534167930906</v>
      </c>
      <c r="AU33" s="2"/>
      <c r="AV33" s="2">
        <v>312.98594501186824</v>
      </c>
      <c r="AW33" s="2">
        <v>364.50380823369284</v>
      </c>
      <c r="AX33" s="2">
        <v>345.67489114475899</v>
      </c>
      <c r="AY33" s="2">
        <v>348.78795956398966</v>
      </c>
      <c r="AZ33" s="2">
        <v>396.67531860970053</v>
      </c>
      <c r="BA33" s="2"/>
      <c r="BB33" s="2">
        <v>244.98031767977309</v>
      </c>
      <c r="BC33" s="2">
        <v>228.21423681890741</v>
      </c>
      <c r="BD33" s="2">
        <v>342.15136982574285</v>
      </c>
      <c r="BE33" s="2">
        <v>228.45042863311753</v>
      </c>
      <c r="BF33" s="2">
        <v>191.39684428857521</v>
      </c>
      <c r="BG33" s="2">
        <v>285.49287469840732</v>
      </c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 x14ac:dyDescent="0.35">
      <c r="A34" s="1" t="s">
        <v>52</v>
      </c>
      <c r="B34" s="1" t="s">
        <v>52</v>
      </c>
      <c r="C34" s="2">
        <f t="shared" si="0"/>
        <v>100</v>
      </c>
      <c r="D34" s="2">
        <f t="shared" si="1"/>
        <v>94.492296046543984</v>
      </c>
      <c r="E34" s="4">
        <f t="shared" si="2"/>
        <v>415.91179594097071</v>
      </c>
      <c r="F34" s="2">
        <f t="shared" si="3"/>
        <v>117.92186309233564</v>
      </c>
      <c r="G34" s="4">
        <f t="shared" si="4"/>
        <v>287.64269391631478</v>
      </c>
      <c r="H34" s="4">
        <f t="shared" si="5"/>
        <v>270.13117781034646</v>
      </c>
      <c r="I34" s="4"/>
      <c r="J34" s="2">
        <f t="shared" si="6"/>
        <v>619.92007839062501</v>
      </c>
      <c r="K34" s="2">
        <f t="shared" si="7"/>
        <v>9.4224710594087089</v>
      </c>
      <c r="L34" s="13" t="s">
        <v>142</v>
      </c>
      <c r="M34" s="12" t="s">
        <v>142</v>
      </c>
      <c r="Q34" s="2">
        <v>133.50720696611</v>
      </c>
      <c r="R34" s="2">
        <v>74.641129624737218</v>
      </c>
      <c r="S34" s="2">
        <v>91.851663409152778</v>
      </c>
      <c r="T34" s="2">
        <v>110.8723053168913</v>
      </c>
      <c r="U34" s="2">
        <v>110.8426007959559</v>
      </c>
      <c r="V34" s="2">
        <v>106.74836013698587</v>
      </c>
      <c r="W34" s="2">
        <v>64.229084921050713</v>
      </c>
      <c r="X34" s="2">
        <v>116.02167988900598</v>
      </c>
      <c r="Y34" s="2">
        <v>91.28596894011028</v>
      </c>
      <c r="Z34" s="2">
        <v>112.0988889288936</v>
      </c>
      <c r="AA34" s="2">
        <v>79.211108939522262</v>
      </c>
      <c r="AB34" s="2">
        <v>108.69000213158418</v>
      </c>
      <c r="AC34" s="2"/>
      <c r="AD34" s="2">
        <v>102.61199315827</v>
      </c>
      <c r="AE34" s="2">
        <v>87.755929138431824</v>
      </c>
      <c r="AF34" s="2">
        <v>103.13234299971403</v>
      </c>
      <c r="AG34" s="2">
        <v>102.28723563356047</v>
      </c>
      <c r="AH34" s="2">
        <v>81.382702862523601</v>
      </c>
      <c r="AI34" s="2">
        <v>89.783572486764029</v>
      </c>
      <c r="AJ34" s="2"/>
      <c r="AK34" s="2">
        <v>616.9459933758244</v>
      </c>
      <c r="AL34" s="2">
        <v>119.32745037322546</v>
      </c>
      <c r="AM34" s="2">
        <v>611.01484925124691</v>
      </c>
      <c r="AN34" s="2">
        <v>452.2743522801585</v>
      </c>
      <c r="AO34" s="2">
        <v>425.66201382776052</v>
      </c>
      <c r="AP34" s="2">
        <v>270.2461165376086</v>
      </c>
      <c r="AQ34" s="2"/>
      <c r="AR34" s="2">
        <v>146.0254981677688</v>
      </c>
      <c r="AS34" s="2">
        <v>101.02803073523199</v>
      </c>
      <c r="AT34" s="2">
        <v>106.71206037400617</v>
      </c>
      <c r="AU34" s="2"/>
      <c r="AV34" s="2">
        <v>269.09458224737347</v>
      </c>
      <c r="AW34" s="2">
        <v>267.07396468154076</v>
      </c>
      <c r="AX34" s="2">
        <v>352.67939842486555</v>
      </c>
      <c r="AY34" s="2">
        <v>308.28306826062067</v>
      </c>
      <c r="AZ34" s="2">
        <v>241.08245596717347</v>
      </c>
      <c r="BA34" s="2"/>
      <c r="BB34" s="2">
        <v>379.42914141798894</v>
      </c>
      <c r="BC34" s="2">
        <v>194.6221491524721</v>
      </c>
      <c r="BD34" s="2">
        <v>202.71549368474876</v>
      </c>
      <c r="BE34" s="2">
        <v>246.69308156005991</v>
      </c>
      <c r="BF34" s="2">
        <v>418.14134674742735</v>
      </c>
      <c r="BG34" s="2">
        <v>179.18585429938153</v>
      </c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 x14ac:dyDescent="0.35">
      <c r="A35" s="1" t="s">
        <v>47</v>
      </c>
      <c r="B35" s="1" t="s">
        <v>47</v>
      </c>
      <c r="C35" s="2">
        <f t="shared" si="0"/>
        <v>100</v>
      </c>
      <c r="D35" s="2">
        <f t="shared" si="1"/>
        <v>83.886582767011888</v>
      </c>
      <c r="E35" s="4">
        <f t="shared" si="2"/>
        <v>332.07231076968213</v>
      </c>
      <c r="F35" s="2">
        <f t="shared" si="3"/>
        <v>62.523070909618355</v>
      </c>
      <c r="G35" s="2">
        <f t="shared" si="4"/>
        <v>266.91727163227989</v>
      </c>
      <c r="H35" s="2">
        <f t="shared" si="5"/>
        <v>190.7648612445283</v>
      </c>
      <c r="I35" s="2"/>
      <c r="J35" s="2">
        <f t="shared" si="6"/>
        <v>602.18523091763529</v>
      </c>
      <c r="K35" s="24">
        <f t="shared" si="7"/>
        <v>19.164674925709726</v>
      </c>
      <c r="L35" s="2" t="s">
        <v>157</v>
      </c>
      <c r="M35" s="12" t="s">
        <v>142</v>
      </c>
      <c r="Q35" s="2">
        <v>83.477812563055224</v>
      </c>
      <c r="R35" s="2">
        <v>113.94704611945248</v>
      </c>
      <c r="S35" s="2">
        <v>102.57514131749231</v>
      </c>
      <c r="T35" s="2">
        <v>132.31234070800153</v>
      </c>
      <c r="U35" s="2">
        <v>111.54048168510364</v>
      </c>
      <c r="V35" s="2">
        <v>83.218907867847122</v>
      </c>
      <c r="W35" s="2">
        <v>65.312549871891036</v>
      </c>
      <c r="X35" s="2">
        <v>110.54293561064254</v>
      </c>
      <c r="Y35" s="2">
        <v>97.072784256514069</v>
      </c>
      <c r="Z35" s="2">
        <v>87.417402640638983</v>
      </c>
      <c r="AA35" s="2">
        <v>99.980820835553828</v>
      </c>
      <c r="AB35" s="2">
        <v>112.60177652380716</v>
      </c>
      <c r="AC35" s="2"/>
      <c r="AD35" s="2">
        <v>72.093827520786135</v>
      </c>
      <c r="AE35" s="2">
        <v>92.264524243438572</v>
      </c>
      <c r="AF35" s="2">
        <v>98.155675148957201</v>
      </c>
      <c r="AG35" s="2">
        <v>74.050539840712887</v>
      </c>
      <c r="AH35" s="2">
        <v>74.536025034105876</v>
      </c>
      <c r="AI35" s="2">
        <v>92.218904814070669</v>
      </c>
      <c r="AJ35" s="2"/>
      <c r="AK35" s="2">
        <v>367.42712261469404</v>
      </c>
      <c r="AL35" s="2">
        <v>219.49370761958809</v>
      </c>
      <c r="AM35" s="2">
        <v>316.82410369771844</v>
      </c>
      <c r="AN35" s="2">
        <v>387.45536117443618</v>
      </c>
      <c r="AO35" s="2">
        <v>400.83746295369394</v>
      </c>
      <c r="AP35" s="2">
        <v>300.39610655796201</v>
      </c>
      <c r="AQ35" s="2"/>
      <c r="AR35" s="2">
        <v>54.407836842541599</v>
      </c>
      <c r="AS35" s="2">
        <v>68.584590873113541</v>
      </c>
      <c r="AT35" s="2">
        <v>64.57678501319991</v>
      </c>
      <c r="AU35" s="2"/>
      <c r="AV35" s="2">
        <v>278.052716549965</v>
      </c>
      <c r="AW35" s="2">
        <v>320.6509751859947</v>
      </c>
      <c r="AX35" s="2">
        <v>225.30051221026397</v>
      </c>
      <c r="AY35" s="2">
        <v>217.3379300588455</v>
      </c>
      <c r="AZ35" s="2">
        <v>293.24422415633023</v>
      </c>
      <c r="BA35" s="2"/>
      <c r="BB35" s="2">
        <v>139.11330331028492</v>
      </c>
      <c r="BC35" s="2">
        <v>156.05431357368917</v>
      </c>
      <c r="BD35" s="2">
        <v>216.45107448718309</v>
      </c>
      <c r="BE35" s="2">
        <v>197.84255097775019</v>
      </c>
      <c r="BF35" s="2">
        <v>187.81144303685738</v>
      </c>
      <c r="BG35" s="2">
        <v>247.31648208140504</v>
      </c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 x14ac:dyDescent="0.35">
      <c r="A36" s="1" t="s">
        <v>30</v>
      </c>
      <c r="B36" s="1" t="s">
        <v>30</v>
      </c>
      <c r="C36" s="2">
        <f t="shared" si="0"/>
        <v>100</v>
      </c>
      <c r="D36" s="2">
        <f t="shared" si="1"/>
        <v>83.705450736337355</v>
      </c>
      <c r="E36" s="4">
        <f t="shared" si="2"/>
        <v>206.12542917844209</v>
      </c>
      <c r="F36" s="2">
        <f t="shared" si="3"/>
        <v>73.624311070377971</v>
      </c>
      <c r="G36" s="2">
        <f t="shared" si="4"/>
        <v>335.86156045480817</v>
      </c>
      <c r="H36" s="2">
        <f t="shared" si="5"/>
        <v>252.02867154622496</v>
      </c>
      <c r="I36" s="2"/>
      <c r="J36" s="2">
        <f t="shared" si="6"/>
        <v>573.14272796834121</v>
      </c>
      <c r="K36" s="2">
        <f t="shared" si="7"/>
        <v>26.56686016260759</v>
      </c>
      <c r="L36" s="2" t="s">
        <v>157</v>
      </c>
      <c r="M36" s="12" t="s">
        <v>142</v>
      </c>
      <c r="Q36" s="2">
        <v>111.58498995415324</v>
      </c>
      <c r="R36" s="2">
        <v>105.24832419466267</v>
      </c>
      <c r="S36" s="2">
        <v>83.16668585118407</v>
      </c>
      <c r="T36" s="2">
        <v>91.465661728665651</v>
      </c>
      <c r="U36" s="2">
        <v>98.170592332662011</v>
      </c>
      <c r="V36" s="2">
        <v>118.88947826187248</v>
      </c>
      <c r="W36" s="2">
        <v>91.780505407411212</v>
      </c>
      <c r="X36" s="2">
        <v>101.53366498468984</v>
      </c>
      <c r="Y36" s="2">
        <v>98.160097284698878</v>
      </c>
      <c r="Z36" s="2">
        <v>94.184070057438589</v>
      </c>
      <c r="AA36" s="2">
        <v>101.57768279476726</v>
      </c>
      <c r="AB36" s="2">
        <v>104.23824714779418</v>
      </c>
      <c r="AC36" s="2"/>
      <c r="AD36" s="2">
        <v>89.581781145053213</v>
      </c>
      <c r="AE36" s="2">
        <v>80.385495919356671</v>
      </c>
      <c r="AF36" s="2">
        <v>83.947393436207165</v>
      </c>
      <c r="AG36" s="2">
        <v>82.226655631083801</v>
      </c>
      <c r="AH36" s="2">
        <v>75.614684707433355</v>
      </c>
      <c r="AI36" s="2">
        <v>90.476693578889893</v>
      </c>
      <c r="AJ36" s="2"/>
      <c r="AK36" s="2">
        <v>181.51296958026418</v>
      </c>
      <c r="AL36" s="2">
        <v>138.21899235019973</v>
      </c>
      <c r="AM36" s="2">
        <v>176.94010575810884</v>
      </c>
      <c r="AN36" s="2">
        <v>226.59086515992036</v>
      </c>
      <c r="AO36" s="2">
        <v>251.0320425073395</v>
      </c>
      <c r="AP36" s="2">
        <v>262.45759971481999</v>
      </c>
      <c r="AQ36" s="2"/>
      <c r="AR36" s="2">
        <v>75.817118379054676</v>
      </c>
      <c r="AS36" s="2">
        <v>66.779250832505809</v>
      </c>
      <c r="AT36" s="2">
        <v>78.276563999573426</v>
      </c>
      <c r="AU36" s="2"/>
      <c r="AV36" s="2">
        <v>347.69858638939792</v>
      </c>
      <c r="AW36" s="2">
        <v>376.87514864857275</v>
      </c>
      <c r="AX36" s="2">
        <v>333.27141787145598</v>
      </c>
      <c r="AY36" s="2">
        <v>290.78347394636717</v>
      </c>
      <c r="AZ36" s="2">
        <v>330.67917541824698</v>
      </c>
      <c r="BA36" s="2"/>
      <c r="BB36" s="2">
        <v>249.51681279584798</v>
      </c>
      <c r="BC36" s="2">
        <v>281.29084548694527</v>
      </c>
      <c r="BD36" s="2">
        <v>259.86236568681232</v>
      </c>
      <c r="BE36" s="2">
        <v>197.37145485209646</v>
      </c>
      <c r="BF36" s="2">
        <v>261.73411401547793</v>
      </c>
      <c r="BG36" s="2">
        <v>262.39643644016979</v>
      </c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 x14ac:dyDescent="0.35">
      <c r="A37" s="1" t="s">
        <v>23</v>
      </c>
      <c r="B37" s="1" t="s">
        <v>23</v>
      </c>
      <c r="C37" s="2">
        <f t="shared" si="0"/>
        <v>100</v>
      </c>
      <c r="D37" s="2">
        <f t="shared" si="1"/>
        <v>122.4414013187472</v>
      </c>
      <c r="E37" s="4">
        <f t="shared" si="2"/>
        <v>283.63565546467271</v>
      </c>
      <c r="F37" s="2">
        <f t="shared" si="3"/>
        <v>115.96190289024692</v>
      </c>
      <c r="G37" s="2">
        <f t="shared" si="4"/>
        <v>318.45322780740571</v>
      </c>
      <c r="H37" s="2">
        <f t="shared" si="5"/>
        <v>307.26768453928668</v>
      </c>
      <c r="I37" s="2"/>
      <c r="J37" s="2">
        <f t="shared" si="6"/>
        <v>561.47085914062427</v>
      </c>
      <c r="K37" s="24">
        <f t="shared" si="7"/>
        <v>20.442384050288489</v>
      </c>
      <c r="L37" s="2" t="s">
        <v>157</v>
      </c>
      <c r="M37" s="12" t="s">
        <v>142</v>
      </c>
      <c r="Q37" s="2">
        <v>106.99112277077597</v>
      </c>
      <c r="R37" s="2">
        <v>80.211312262347221</v>
      </c>
      <c r="S37" s="2">
        <v>112.79756496687679</v>
      </c>
      <c r="T37" s="2">
        <v>124.47893937470084</v>
      </c>
      <c r="U37" s="2">
        <v>92.713343774701059</v>
      </c>
      <c r="V37" s="2">
        <v>56.288464240538183</v>
      </c>
      <c r="W37" s="2">
        <v>92.953483748503245</v>
      </c>
      <c r="X37" s="2">
        <v>104.560133112877</v>
      </c>
      <c r="Y37" s="2">
        <v>129.00563574867968</v>
      </c>
      <c r="Z37" s="2">
        <v>94.738331338809857</v>
      </c>
      <c r="AA37" s="2">
        <v>108.60698207379438</v>
      </c>
      <c r="AB37" s="2">
        <v>96.654686587395773</v>
      </c>
      <c r="AC37" s="2"/>
      <c r="AD37" s="2">
        <v>102.47844617304315</v>
      </c>
      <c r="AE37" s="2">
        <v>111.88350550684663</v>
      </c>
      <c r="AF37" s="2">
        <v>105.67360519005832</v>
      </c>
      <c r="AG37" s="2">
        <v>148.09707170379301</v>
      </c>
      <c r="AH37" s="2">
        <v>145.49879501402233</v>
      </c>
      <c r="AI37" s="2">
        <v>121.01698432471967</v>
      </c>
      <c r="AJ37" s="2"/>
      <c r="AK37" s="2">
        <v>346.22203836793335</v>
      </c>
      <c r="AL37" s="2">
        <v>245.20094041884846</v>
      </c>
      <c r="AM37" s="2">
        <v>254.63482486011924</v>
      </c>
      <c r="AN37" s="2">
        <v>311.63181610867014</v>
      </c>
      <c r="AO37" s="2">
        <v>302.35675662361632</v>
      </c>
      <c r="AP37" s="2">
        <v>241.76755640884875</v>
      </c>
      <c r="AQ37" s="2"/>
      <c r="AR37" s="2">
        <v>126.32321114832313</v>
      </c>
      <c r="AS37" s="2">
        <v>104.22164129237689</v>
      </c>
      <c r="AT37" s="2">
        <v>117.34085623004071</v>
      </c>
      <c r="AU37" s="2"/>
      <c r="AV37" s="2">
        <v>313.47647477722091</v>
      </c>
      <c r="AW37" s="2">
        <v>284.39126119431484</v>
      </c>
      <c r="AX37" s="2">
        <v>387.46607287779386</v>
      </c>
      <c r="AY37" s="2">
        <v>315.08133564519949</v>
      </c>
      <c r="AZ37" s="2">
        <v>291.85099454249939</v>
      </c>
      <c r="BA37" s="2"/>
      <c r="BB37" s="2">
        <v>348.92358084293539</v>
      </c>
      <c r="BC37" s="2">
        <v>323.28298037563701</v>
      </c>
      <c r="BD37" s="2">
        <v>257.97905579946206</v>
      </c>
      <c r="BE37" s="2">
        <v>297.86195444546757</v>
      </c>
      <c r="BF37" s="2">
        <v>317.87653647413623</v>
      </c>
      <c r="BG37" s="2">
        <v>297.68199929808202</v>
      </c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 x14ac:dyDescent="0.35">
      <c r="A38" s="1" t="s">
        <v>50</v>
      </c>
      <c r="B38" s="1" t="s">
        <v>50</v>
      </c>
      <c r="C38" s="2">
        <f t="shared" ref="C38:C65" si="12">AVERAGE(Q38:AB38)</f>
        <v>100</v>
      </c>
      <c r="D38" s="2">
        <f t="shared" ref="D38:D65" si="13">AVERAGE(AD38:AI38)</f>
        <v>97.308196508780227</v>
      </c>
      <c r="E38" s="4">
        <f t="shared" ref="E38:E65" si="14">AVERAGE(AK38:AP38)</f>
        <v>218.28385384577348</v>
      </c>
      <c r="F38" s="2">
        <f t="shared" ref="F38:F65" si="15">AVERAGE(AR38:AT38)</f>
        <v>84.65129203236215</v>
      </c>
      <c r="G38" s="2">
        <f t="shared" ref="G38:G65" si="16">AVERAGE(AV38:AZ38)</f>
        <v>356.85419326363836</v>
      </c>
      <c r="H38" s="2">
        <f t="shared" ref="H38:H65" si="17">AVERAGE(BB38:BG38)</f>
        <v>215.14485841881722</v>
      </c>
      <c r="I38" s="2"/>
      <c r="J38" s="2">
        <f t="shared" ref="J38:J65" si="18">E38+G38+H38-3*F38</f>
        <v>536.32902943114266</v>
      </c>
      <c r="K38" s="2">
        <f t="shared" ref="K38:K65" si="19">J38/AVERAGE(STDEV(Q38:AB38),STDEV(AD38:AI38),STDEV(AR38:AT38), STDEV(AV38:AZ38), STDEV(BB38:BG38),STDEV(AK38:AP38))</f>
        <v>13.886327639130965</v>
      </c>
      <c r="L38" s="2" t="s">
        <v>157</v>
      </c>
      <c r="M38" s="12" t="s">
        <v>142</v>
      </c>
      <c r="Q38" s="2">
        <v>78.032225144539112</v>
      </c>
      <c r="R38" s="2">
        <v>101.56650654598769</v>
      </c>
      <c r="S38" s="2">
        <v>120.40126830947322</v>
      </c>
      <c r="T38" s="2">
        <v>111.79799071798301</v>
      </c>
      <c r="U38" s="2">
        <v>94.458651032842823</v>
      </c>
      <c r="V38" s="2">
        <v>105.75119996877764</v>
      </c>
      <c r="W38" s="2">
        <v>44.350179030398358</v>
      </c>
      <c r="X38" s="2">
        <v>89.8360742368411</v>
      </c>
      <c r="Y38" s="2">
        <v>153.805905013157</v>
      </c>
      <c r="Z38" s="2">
        <v>102.52132138931634</v>
      </c>
      <c r="AA38" s="2">
        <v>101.56284223816368</v>
      </c>
      <c r="AB38" s="2">
        <v>95.915836372519962</v>
      </c>
      <c r="AC38" s="2"/>
      <c r="AD38" s="2">
        <v>99.60738290429579</v>
      </c>
      <c r="AE38" s="2">
        <v>94.749250909877063</v>
      </c>
      <c r="AF38" s="2">
        <v>91.864591718022837</v>
      </c>
      <c r="AG38" s="2">
        <v>80.077489031000994</v>
      </c>
      <c r="AH38" s="2">
        <v>114.88288457426422</v>
      </c>
      <c r="AI38" s="2">
        <v>102.66757991522049</v>
      </c>
      <c r="AJ38" s="2"/>
      <c r="AK38" s="2">
        <v>283.13755506076092</v>
      </c>
      <c r="AL38" s="2">
        <v>123.46260861553131</v>
      </c>
      <c r="AM38" s="2">
        <v>283.4601260717946</v>
      </c>
      <c r="AN38" s="2">
        <v>226.558106073734</v>
      </c>
      <c r="AO38" s="2">
        <v>237.39349321041411</v>
      </c>
      <c r="AP38" s="2">
        <v>155.69123404240585</v>
      </c>
      <c r="AQ38" s="2"/>
      <c r="AR38" s="2">
        <v>102.56826103030092</v>
      </c>
      <c r="AS38" s="2">
        <v>77.095665179096017</v>
      </c>
      <c r="AT38" s="2">
        <v>74.289949887689488</v>
      </c>
      <c r="AU38" s="2"/>
      <c r="AV38" s="2">
        <v>457.61977535394578</v>
      </c>
      <c r="AW38" s="2">
        <v>431.68859260878133</v>
      </c>
      <c r="AX38" s="2">
        <v>285.85433817703296</v>
      </c>
      <c r="AY38" s="2">
        <v>266.15639606957615</v>
      </c>
      <c r="AZ38" s="2">
        <v>342.95186410885543</v>
      </c>
      <c r="BA38" s="2"/>
      <c r="BB38" s="2">
        <v>214.44615466374495</v>
      </c>
      <c r="BC38" s="2">
        <v>213.45803503821145</v>
      </c>
      <c r="BD38" s="2">
        <v>190.10070060529725</v>
      </c>
      <c r="BE38" s="2">
        <v>181.75029958580907</v>
      </c>
      <c r="BF38" s="2">
        <v>254.5717134842015</v>
      </c>
      <c r="BG38" s="2">
        <v>236.54224713563926</v>
      </c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 x14ac:dyDescent="0.35">
      <c r="A39" s="1" t="s">
        <v>55</v>
      </c>
      <c r="B39" s="1" t="s">
        <v>120</v>
      </c>
      <c r="C39" s="2">
        <f t="shared" si="12"/>
        <v>100</v>
      </c>
      <c r="D39" s="2">
        <f t="shared" si="13"/>
        <v>94.018042352281597</v>
      </c>
      <c r="E39" s="4">
        <f t="shared" si="14"/>
        <v>288.75956541671866</v>
      </c>
      <c r="F39" s="2">
        <f t="shared" si="15"/>
        <v>139.56098419376082</v>
      </c>
      <c r="G39" s="2">
        <f t="shared" si="16"/>
        <v>366.53035147147034</v>
      </c>
      <c r="H39" s="2">
        <f t="shared" si="17"/>
        <v>246.46204207036195</v>
      </c>
      <c r="I39" s="2"/>
      <c r="J39" s="2">
        <f t="shared" si="18"/>
        <v>483.06900637726852</v>
      </c>
      <c r="K39" s="2">
        <f t="shared" si="19"/>
        <v>9.7859574099956674</v>
      </c>
      <c r="L39" s="2" t="s">
        <v>157</v>
      </c>
      <c r="M39" s="12" t="s">
        <v>142</v>
      </c>
      <c r="Q39" s="2">
        <v>88.12642176655136</v>
      </c>
      <c r="R39" s="2">
        <v>128.01154539112773</v>
      </c>
      <c r="S39" s="2">
        <v>83.862032842320957</v>
      </c>
      <c r="T39" s="2">
        <v>82.277217318627152</v>
      </c>
      <c r="U39" s="2">
        <v>83.44309818497544</v>
      </c>
      <c r="V39" s="2">
        <v>118.31292903464927</v>
      </c>
      <c r="W39" s="2">
        <v>128.066250355303</v>
      </c>
      <c r="X39" s="2">
        <v>112.38967143106858</v>
      </c>
      <c r="Y39" s="2">
        <v>75.510833675376546</v>
      </c>
      <c r="Z39" s="2">
        <v>90.057624670874532</v>
      </c>
      <c r="AA39" s="2">
        <v>81.99525827172846</v>
      </c>
      <c r="AB39" s="2">
        <v>127.94711705739698</v>
      </c>
      <c r="AC39" s="2"/>
      <c r="AD39" s="2">
        <v>94.830457799080762</v>
      </c>
      <c r="AE39" s="2">
        <v>87.073785126974698</v>
      </c>
      <c r="AF39" s="2">
        <v>102.08665581187846</v>
      </c>
      <c r="AG39" s="2">
        <v>88.505563469801842</v>
      </c>
      <c r="AH39" s="2">
        <v>99.761390919748393</v>
      </c>
      <c r="AI39" s="2">
        <v>91.850400986205358</v>
      </c>
      <c r="AJ39" s="2"/>
      <c r="AK39" s="2">
        <v>293.60904590620339</v>
      </c>
      <c r="AL39" s="2">
        <v>111.62880341744491</v>
      </c>
      <c r="AM39" s="2">
        <v>341.97932538245129</v>
      </c>
      <c r="AN39" s="2">
        <v>349.05213905705602</v>
      </c>
      <c r="AO39" s="2">
        <v>375.0059406536846</v>
      </c>
      <c r="AP39" s="2">
        <v>261.28213808347164</v>
      </c>
      <c r="AQ39" s="2"/>
      <c r="AR39" s="2">
        <v>120.34639908235822</v>
      </c>
      <c r="AS39" s="2">
        <v>140.14999941216266</v>
      </c>
      <c r="AT39" s="2">
        <v>158.18655408676159</v>
      </c>
      <c r="AU39" s="2"/>
      <c r="AV39" s="2">
        <v>421.24881315350461</v>
      </c>
      <c r="AW39" s="2">
        <v>520.89536959142526</v>
      </c>
      <c r="AX39" s="2">
        <v>321.45913651772366</v>
      </c>
      <c r="AY39" s="2">
        <v>265.35427840692796</v>
      </c>
      <c r="AZ39" s="2">
        <v>303.69415968777025</v>
      </c>
      <c r="BA39" s="2"/>
      <c r="BB39" s="2">
        <v>215.01073304482875</v>
      </c>
      <c r="BC39" s="2">
        <v>182.44741157077405</v>
      </c>
      <c r="BD39" s="2">
        <v>310.75387008255888</v>
      </c>
      <c r="BE39" s="2">
        <v>265.65069837971367</v>
      </c>
      <c r="BF39" s="2">
        <v>291.77748874811124</v>
      </c>
      <c r="BG39" s="2">
        <v>213.13205059618497</v>
      </c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 x14ac:dyDescent="0.35">
      <c r="A40" s="1" t="s">
        <v>25</v>
      </c>
      <c r="B40" s="1" t="s">
        <v>25</v>
      </c>
      <c r="C40" s="2">
        <f t="shared" si="12"/>
        <v>100</v>
      </c>
      <c r="D40" s="2">
        <f t="shared" si="13"/>
        <v>98.234745334131489</v>
      </c>
      <c r="E40" s="4">
        <f t="shared" si="14"/>
        <v>248.87584165084274</v>
      </c>
      <c r="F40" s="2">
        <f t="shared" si="15"/>
        <v>90.581383369110313</v>
      </c>
      <c r="G40" s="2">
        <f t="shared" si="16"/>
        <v>238.20848427857771</v>
      </c>
      <c r="H40" s="2">
        <f t="shared" si="17"/>
        <v>240.55467376286143</v>
      </c>
      <c r="I40" s="2"/>
      <c r="J40" s="2">
        <f t="shared" si="18"/>
        <v>455.89484958495098</v>
      </c>
      <c r="K40" s="2">
        <f t="shared" si="19"/>
        <v>26.424103657381831</v>
      </c>
      <c r="L40" s="14" t="s">
        <v>142</v>
      </c>
      <c r="M40" s="12" t="s">
        <v>142</v>
      </c>
      <c r="Q40" s="2">
        <v>99.327369000388714</v>
      </c>
      <c r="R40" s="2">
        <v>82.058381701922514</v>
      </c>
      <c r="S40" s="2">
        <v>118.61424929768879</v>
      </c>
      <c r="T40" s="2">
        <v>122.95493232748908</v>
      </c>
      <c r="U40" s="2">
        <v>94.206951376572107</v>
      </c>
      <c r="V40" s="2">
        <v>90.607406778569185</v>
      </c>
      <c r="W40" s="2">
        <v>94.917055061797967</v>
      </c>
      <c r="X40" s="2">
        <v>98.392313641362662</v>
      </c>
      <c r="Y40" s="2">
        <v>98.921340814208961</v>
      </c>
      <c r="Z40" s="2">
        <v>99.307617765045819</v>
      </c>
      <c r="AA40" s="2">
        <v>108.40696139080721</v>
      </c>
      <c r="AB40" s="2">
        <v>92.285420844146969</v>
      </c>
      <c r="AC40" s="2"/>
      <c r="AD40" s="2">
        <v>100.79321883131163</v>
      </c>
      <c r="AE40" s="2">
        <v>98.80330658963662</v>
      </c>
      <c r="AF40" s="2">
        <v>93.842028250852621</v>
      </c>
      <c r="AG40" s="2">
        <v>100.79451398902322</v>
      </c>
      <c r="AH40" s="2">
        <v>102.71835381218121</v>
      </c>
      <c r="AI40" s="2">
        <v>92.457050531783636</v>
      </c>
      <c r="AJ40" s="2"/>
      <c r="AK40" s="2">
        <v>260.95776794492815</v>
      </c>
      <c r="AL40" s="2">
        <v>179.76040598890407</v>
      </c>
      <c r="AM40" s="2">
        <v>264.60514893508895</v>
      </c>
      <c r="AN40" s="2">
        <v>283.00873737794001</v>
      </c>
      <c r="AO40" s="2">
        <v>267.57149317949006</v>
      </c>
      <c r="AP40" s="2">
        <v>237.35149647870517</v>
      </c>
      <c r="AQ40" s="2"/>
      <c r="AR40" s="2">
        <v>95.672503198523415</v>
      </c>
      <c r="AS40" s="2">
        <v>88.441786110306467</v>
      </c>
      <c r="AT40" s="2">
        <v>87.629860798501028</v>
      </c>
      <c r="AU40" s="2"/>
      <c r="AV40" s="2">
        <v>227.40498064536715</v>
      </c>
      <c r="AW40" s="2">
        <v>225.50166889512124</v>
      </c>
      <c r="AX40" s="2">
        <v>244.11610666659911</v>
      </c>
      <c r="AY40" s="2">
        <v>237.10650679671522</v>
      </c>
      <c r="AZ40" s="2">
        <v>256.91315838908588</v>
      </c>
      <c r="BA40" s="2"/>
      <c r="BB40" s="2">
        <v>198.42406635774702</v>
      </c>
      <c r="BC40" s="2">
        <v>265.926506475765</v>
      </c>
      <c r="BD40" s="2">
        <v>197.5029485591038</v>
      </c>
      <c r="BE40" s="2">
        <v>257.70513572191152</v>
      </c>
      <c r="BF40" s="2">
        <v>270.45500594692157</v>
      </c>
      <c r="BG40" s="2">
        <v>253.31437951571954</v>
      </c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 x14ac:dyDescent="0.35">
      <c r="A41" s="1" t="s">
        <v>56</v>
      </c>
      <c r="B41" s="1" t="s">
        <v>56</v>
      </c>
      <c r="C41" s="2">
        <f t="shared" si="12"/>
        <v>100</v>
      </c>
      <c r="D41" s="2">
        <f t="shared" si="13"/>
        <v>79.502096974577455</v>
      </c>
      <c r="E41" s="4">
        <f t="shared" si="14"/>
        <v>217.76836143092464</v>
      </c>
      <c r="F41" s="2">
        <f t="shared" si="15"/>
        <v>71.426971045152598</v>
      </c>
      <c r="G41" s="2">
        <f t="shared" si="16"/>
        <v>252.31575179062946</v>
      </c>
      <c r="H41" s="2">
        <f t="shared" si="17"/>
        <v>198.37991307941653</v>
      </c>
      <c r="I41" s="2"/>
      <c r="J41" s="2">
        <f t="shared" si="18"/>
        <v>454.18311316551285</v>
      </c>
      <c r="K41" s="2">
        <f t="shared" si="19"/>
        <v>13.441548741298703</v>
      </c>
      <c r="L41" s="2" t="s">
        <v>157</v>
      </c>
      <c r="M41" s="12" t="s">
        <v>142</v>
      </c>
      <c r="Q41" s="2">
        <v>94.128291694281245</v>
      </c>
      <c r="R41" s="2">
        <v>87.792852555067626</v>
      </c>
      <c r="S41" s="2">
        <v>118.07885575065113</v>
      </c>
      <c r="T41" s="2">
        <v>114.57018201921534</v>
      </c>
      <c r="U41" s="2">
        <v>86.531046402530265</v>
      </c>
      <c r="V41" s="2">
        <v>109.96717967459858</v>
      </c>
      <c r="W41" s="2">
        <v>146.04123962982672</v>
      </c>
      <c r="X41" s="2">
        <v>104.80995224822176</v>
      </c>
      <c r="Y41" s="2">
        <v>38.080400025607325</v>
      </c>
      <c r="Z41" s="2">
        <v>88.369041707498241</v>
      </c>
      <c r="AA41" s="2">
        <v>104.01629374787036</v>
      </c>
      <c r="AB41" s="2">
        <v>107.61466454463137</v>
      </c>
      <c r="AC41" s="2"/>
      <c r="AD41" s="2">
        <v>76.245971235552673</v>
      </c>
      <c r="AE41" s="2">
        <v>64.700622585010862</v>
      </c>
      <c r="AF41" s="2">
        <v>73.724857343675225</v>
      </c>
      <c r="AG41" s="2">
        <v>90.101376562376984</v>
      </c>
      <c r="AH41" s="2">
        <v>80.003058244175946</v>
      </c>
      <c r="AI41" s="2">
        <v>92.236695876673039</v>
      </c>
      <c r="AJ41" s="2"/>
      <c r="AK41" s="2">
        <v>126.06832456302551</v>
      </c>
      <c r="AL41" s="2">
        <v>173.35559631350705</v>
      </c>
      <c r="AM41" s="2">
        <v>174.42775225524949</v>
      </c>
      <c r="AN41" s="2">
        <v>228.68654605369701</v>
      </c>
      <c r="AO41" s="2">
        <v>296.05030005453773</v>
      </c>
      <c r="AP41" s="2">
        <v>308.02164934553116</v>
      </c>
      <c r="AQ41" s="2"/>
      <c r="AR41" s="2">
        <v>69.954519067544453</v>
      </c>
      <c r="AS41" s="2">
        <v>60.427471993611491</v>
      </c>
      <c r="AT41" s="2">
        <v>83.898922074301865</v>
      </c>
      <c r="AU41" s="2"/>
      <c r="AV41" s="2">
        <v>197.94967085800312</v>
      </c>
      <c r="AW41" s="2">
        <v>209.62260951513929</v>
      </c>
      <c r="AX41" s="2">
        <v>271.37444875131848</v>
      </c>
      <c r="AY41" s="2">
        <v>324.90611096041283</v>
      </c>
      <c r="AZ41" s="2">
        <v>257.72591886827348</v>
      </c>
      <c r="BA41" s="2"/>
      <c r="BB41" s="2">
        <v>202.03910933955595</v>
      </c>
      <c r="BC41" s="2">
        <v>198.53938210758443</v>
      </c>
      <c r="BD41" s="2">
        <v>224.44386685211731</v>
      </c>
      <c r="BE41" s="2">
        <v>237.61145732004283</v>
      </c>
      <c r="BF41" s="2">
        <v>155.09232747996347</v>
      </c>
      <c r="BG41" s="2">
        <v>172.5533353772351</v>
      </c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 x14ac:dyDescent="0.35">
      <c r="A42" s="1" t="s">
        <v>22</v>
      </c>
      <c r="B42" s="1" t="s">
        <v>131</v>
      </c>
      <c r="C42" s="2">
        <f t="shared" si="12"/>
        <v>100</v>
      </c>
      <c r="D42" s="2">
        <f t="shared" si="13"/>
        <v>81.920443264936054</v>
      </c>
      <c r="E42" s="2">
        <f t="shared" si="14"/>
        <v>138.96528181771302</v>
      </c>
      <c r="F42" s="2">
        <f t="shared" si="15"/>
        <v>77.954453595733483</v>
      </c>
      <c r="G42" s="2">
        <f t="shared" si="16"/>
        <v>330.24124432390897</v>
      </c>
      <c r="H42" s="2">
        <f t="shared" si="17"/>
        <v>214.46450645584036</v>
      </c>
      <c r="I42" s="2"/>
      <c r="J42" s="2">
        <f t="shared" si="18"/>
        <v>449.80767181026192</v>
      </c>
      <c r="K42" s="24">
        <f t="shared" si="19"/>
        <v>20.459304298646021</v>
      </c>
      <c r="L42" s="14" t="s">
        <v>142</v>
      </c>
      <c r="M42" s="12" t="s">
        <v>142</v>
      </c>
      <c r="Q42" s="2">
        <v>88.212285044209438</v>
      </c>
      <c r="R42" s="2">
        <v>131.73168115232542</v>
      </c>
      <c r="S42" s="2">
        <v>80.056033803465155</v>
      </c>
      <c r="T42" s="2">
        <v>82.458938369163477</v>
      </c>
      <c r="U42" s="2">
        <v>87.681198405449237</v>
      </c>
      <c r="V42" s="2">
        <v>106.30243706990181</v>
      </c>
      <c r="W42" s="2">
        <v>143.79417750519801</v>
      </c>
      <c r="X42" s="2">
        <v>94.62534144331768</v>
      </c>
      <c r="Y42" s="2">
        <v>85.137907206969828</v>
      </c>
      <c r="Z42" s="2">
        <v>104.50355863747883</v>
      </c>
      <c r="AA42" s="2">
        <v>87.635258253542716</v>
      </c>
      <c r="AB42" s="2">
        <v>107.86118310897845</v>
      </c>
      <c r="AC42" s="2"/>
      <c r="AD42" s="2">
        <v>85.692092163905841</v>
      </c>
      <c r="AE42" s="2">
        <v>79.967404382925892</v>
      </c>
      <c r="AF42" s="2">
        <v>89.829647215580664</v>
      </c>
      <c r="AG42" s="2">
        <v>79.133156269978585</v>
      </c>
      <c r="AH42" s="2">
        <v>81.900178230602734</v>
      </c>
      <c r="AI42" s="2">
        <v>75.00018132662251</v>
      </c>
      <c r="AJ42" s="2"/>
      <c r="AK42" s="2">
        <v>114.56940200355463</v>
      </c>
      <c r="AL42" s="2">
        <v>106.34694455618397</v>
      </c>
      <c r="AM42" s="2">
        <v>114.89886445239725</v>
      </c>
      <c r="AN42" s="2">
        <v>150.04914859850393</v>
      </c>
      <c r="AO42" s="2">
        <v>186.42271588041427</v>
      </c>
      <c r="AP42" s="2">
        <v>161.50461541522401</v>
      </c>
      <c r="AQ42" s="2"/>
      <c r="AR42" s="2">
        <v>75.291596541130275</v>
      </c>
      <c r="AS42" s="2">
        <v>85.122694317589961</v>
      </c>
      <c r="AT42" s="2">
        <v>73.449069928480228</v>
      </c>
      <c r="AU42" s="2"/>
      <c r="AV42" s="2">
        <v>326.10185231476117</v>
      </c>
      <c r="AW42" s="2">
        <v>393.40955553544575</v>
      </c>
      <c r="AX42" s="2">
        <v>309.37167541469597</v>
      </c>
      <c r="AY42" s="2">
        <v>299.71782562560128</v>
      </c>
      <c r="AZ42" s="2">
        <v>322.60531272904046</v>
      </c>
      <c r="BA42" s="2"/>
      <c r="BB42" s="2">
        <v>207.93821232096874</v>
      </c>
      <c r="BC42" s="2">
        <v>196.71571971260542</v>
      </c>
      <c r="BD42" s="2">
        <v>267.1162350649725</v>
      </c>
      <c r="BE42" s="2">
        <v>188.7980845753427</v>
      </c>
      <c r="BF42" s="2">
        <v>189.07877809112821</v>
      </c>
      <c r="BG42" s="2">
        <v>237.14000897002464</v>
      </c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 x14ac:dyDescent="0.35">
      <c r="A43" s="1" t="s">
        <v>58</v>
      </c>
      <c r="B43" s="1" t="s">
        <v>136</v>
      </c>
      <c r="C43" s="2">
        <f t="shared" si="12"/>
        <v>100</v>
      </c>
      <c r="D43" s="2">
        <f t="shared" si="13"/>
        <v>69.390464632685749</v>
      </c>
      <c r="E43" s="2">
        <f t="shared" si="14"/>
        <v>186.02330246741914</v>
      </c>
      <c r="F43" s="2">
        <f t="shared" si="15"/>
        <v>71.669012882917642</v>
      </c>
      <c r="G43" s="2">
        <f t="shared" si="16"/>
        <v>277.88879650670935</v>
      </c>
      <c r="H43" s="2">
        <f t="shared" si="17"/>
        <v>200.18371117348531</v>
      </c>
      <c r="I43" s="2"/>
      <c r="J43" s="2">
        <f t="shared" si="18"/>
        <v>449.08877149886092</v>
      </c>
      <c r="K43" s="2">
        <f t="shared" si="19"/>
        <v>8.0838294731841494</v>
      </c>
      <c r="L43" s="2" t="s">
        <v>157</v>
      </c>
      <c r="M43" s="12" t="s">
        <v>142</v>
      </c>
      <c r="Q43" s="2">
        <v>136.94839110870961</v>
      </c>
      <c r="R43" s="2">
        <v>104.68466652074341</v>
      </c>
      <c r="S43" s="2">
        <v>58.366942370547022</v>
      </c>
      <c r="T43" s="2">
        <v>153.47291667759305</v>
      </c>
      <c r="U43" s="2">
        <v>92.339685436707128</v>
      </c>
      <c r="V43" s="2">
        <v>77.277904970767949</v>
      </c>
      <c r="W43" s="2">
        <v>120.88207983777741</v>
      </c>
      <c r="X43" s="2">
        <v>110.30523672819808</v>
      </c>
      <c r="Y43" s="2">
        <v>45.722176348956303</v>
      </c>
      <c r="Z43" s="2">
        <v>89.811582722544856</v>
      </c>
      <c r="AA43" s="2">
        <v>106.5653539966512</v>
      </c>
      <c r="AB43" s="2">
        <v>103.62306328080393</v>
      </c>
      <c r="AC43" s="2"/>
      <c r="AD43" s="2">
        <v>84.907668370742726</v>
      </c>
      <c r="AE43" s="2">
        <v>81.685692095961045</v>
      </c>
      <c r="AF43" s="2">
        <v>86.028133547437278</v>
      </c>
      <c r="AG43" s="2">
        <v>54.10625774635858</v>
      </c>
      <c r="AH43" s="2">
        <v>55.434359486034666</v>
      </c>
      <c r="AI43" s="2">
        <v>54.180676549580276</v>
      </c>
      <c r="AJ43" s="2"/>
      <c r="AK43" s="2">
        <v>141.307855963756</v>
      </c>
      <c r="AL43" s="2">
        <v>105.67965172926627</v>
      </c>
      <c r="AM43" s="2">
        <v>104.25667119213892</v>
      </c>
      <c r="AN43" s="2">
        <v>162.39565261804705</v>
      </c>
      <c r="AO43" s="2">
        <v>282.93073501699695</v>
      </c>
      <c r="AP43" s="2">
        <v>319.56924828430971</v>
      </c>
      <c r="AQ43" s="2"/>
      <c r="AR43" s="2">
        <v>61.148975730955328</v>
      </c>
      <c r="AS43" s="2">
        <v>84.22024707695978</v>
      </c>
      <c r="AT43" s="2">
        <v>69.637815840837845</v>
      </c>
      <c r="AU43" s="2"/>
      <c r="AV43" s="2">
        <v>151.69734020888552</v>
      </c>
      <c r="AW43" s="2">
        <v>144.42959640334138</v>
      </c>
      <c r="AX43" s="2">
        <v>348.59335909653299</v>
      </c>
      <c r="AY43" s="2">
        <v>409.19440775491563</v>
      </c>
      <c r="AZ43" s="2">
        <v>335.529279069871</v>
      </c>
      <c r="BA43" s="2"/>
      <c r="BB43" s="2">
        <v>265.3676210302956</v>
      </c>
      <c r="BC43" s="2">
        <v>229.27187542043274</v>
      </c>
      <c r="BD43" s="2">
        <v>250.63124308908405</v>
      </c>
      <c r="BE43" s="2">
        <v>137.93873937905812</v>
      </c>
      <c r="BF43" s="2">
        <v>117.8456832877755</v>
      </c>
      <c r="BG43" s="2">
        <v>200.04710483426581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 x14ac:dyDescent="0.35">
      <c r="A44" s="1" t="s">
        <v>40</v>
      </c>
      <c r="B44" s="1" t="s">
        <v>40</v>
      </c>
      <c r="C44" s="2">
        <f t="shared" si="12"/>
        <v>100</v>
      </c>
      <c r="D44" s="2">
        <f t="shared" si="13"/>
        <v>100.33498053167808</v>
      </c>
      <c r="E44" s="2">
        <f t="shared" si="14"/>
        <v>187.41733380315679</v>
      </c>
      <c r="F44" s="2">
        <f t="shared" si="15"/>
        <v>103.19435453392998</v>
      </c>
      <c r="G44" s="2">
        <f t="shared" si="16"/>
        <v>296.00575785930954</v>
      </c>
      <c r="H44" s="2">
        <f t="shared" si="17"/>
        <v>239.0760132227434</v>
      </c>
      <c r="I44" s="2"/>
      <c r="J44" s="2">
        <f t="shared" si="18"/>
        <v>412.91604128341976</v>
      </c>
      <c r="K44" s="2">
        <f t="shared" si="19"/>
        <v>10.11781209799134</v>
      </c>
      <c r="L44" s="2" t="s">
        <v>157</v>
      </c>
      <c r="M44" s="12" t="s">
        <v>142</v>
      </c>
      <c r="Q44" s="2">
        <v>94.017715999894975</v>
      </c>
      <c r="R44" s="2">
        <v>55.113251134021482</v>
      </c>
      <c r="S44" s="2">
        <v>150.86903286608353</v>
      </c>
      <c r="T44" s="2">
        <v>163.85188596520038</v>
      </c>
      <c r="U44" s="2">
        <v>84.73101532802761</v>
      </c>
      <c r="V44" s="2">
        <v>56.981495895775353</v>
      </c>
      <c r="W44" s="2">
        <v>65.95580139607425</v>
      </c>
      <c r="X44" s="2">
        <v>91.239430173515757</v>
      </c>
      <c r="Y44" s="2">
        <v>137.24037124140665</v>
      </c>
      <c r="Z44" s="2">
        <v>94.983302321394618</v>
      </c>
      <c r="AA44" s="2">
        <v>119.37906972058788</v>
      </c>
      <c r="AB44" s="2">
        <v>85.637627958017504</v>
      </c>
      <c r="AC44" s="2"/>
      <c r="AD44" s="2">
        <v>91.019456000649541</v>
      </c>
      <c r="AE44" s="2">
        <v>72.489681236452682</v>
      </c>
      <c r="AF44" s="2">
        <v>104.84799053538093</v>
      </c>
      <c r="AG44" s="2">
        <v>129.7311380340964</v>
      </c>
      <c r="AH44" s="2">
        <v>128.37637669420752</v>
      </c>
      <c r="AI44" s="2">
        <v>75.545240689281556</v>
      </c>
      <c r="AJ44" s="2"/>
      <c r="AK44" s="2">
        <v>239.63377559182754</v>
      </c>
      <c r="AL44" s="2">
        <v>151.45118040697034</v>
      </c>
      <c r="AM44" s="2">
        <v>198.93393992092703</v>
      </c>
      <c r="AN44" s="2">
        <v>229.5554071550969</v>
      </c>
      <c r="AO44" s="2">
        <v>145.8217160076978</v>
      </c>
      <c r="AP44" s="2">
        <v>159.10798373642118</v>
      </c>
      <c r="AQ44" s="2"/>
      <c r="AR44" s="2">
        <v>145.79452813845947</v>
      </c>
      <c r="AS44" s="2">
        <v>86.820517497560246</v>
      </c>
      <c r="AT44" s="2">
        <v>76.968017965770201</v>
      </c>
      <c r="AU44" s="2"/>
      <c r="AV44" s="2">
        <v>324.25609758022398</v>
      </c>
      <c r="AW44" s="2">
        <v>205.84417400580421</v>
      </c>
      <c r="AX44" s="2">
        <v>311.39754346933722</v>
      </c>
      <c r="AY44" s="2">
        <v>354.1190287593505</v>
      </c>
      <c r="AZ44" s="2">
        <v>284.41194548183176</v>
      </c>
      <c r="BA44" s="2"/>
      <c r="BB44" s="2">
        <v>238.28752665123878</v>
      </c>
      <c r="BC44" s="2">
        <v>323.57955211577615</v>
      </c>
      <c r="BD44" s="2">
        <v>193.58189460085507</v>
      </c>
      <c r="BE44" s="2">
        <v>189.6912723724403</v>
      </c>
      <c r="BF44" s="2">
        <v>260.4267019549817</v>
      </c>
      <c r="BG44" s="2">
        <v>228.88913164116826</v>
      </c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 x14ac:dyDescent="0.35">
      <c r="A45" s="1" t="s">
        <v>49</v>
      </c>
      <c r="B45" s="1" t="s">
        <v>49</v>
      </c>
      <c r="C45" s="2">
        <f t="shared" si="12"/>
        <v>100</v>
      </c>
      <c r="D45" s="2">
        <f t="shared" si="13"/>
        <v>102.13880237773297</v>
      </c>
      <c r="E45" s="2">
        <f t="shared" si="14"/>
        <v>208.68637727200942</v>
      </c>
      <c r="F45" s="2">
        <f t="shared" si="15"/>
        <v>96.904069520851991</v>
      </c>
      <c r="G45" s="2">
        <f t="shared" si="16"/>
        <v>273.6633098667474</v>
      </c>
      <c r="H45" s="2">
        <f t="shared" si="17"/>
        <v>206.32973480804856</v>
      </c>
      <c r="I45" s="2"/>
      <c r="J45" s="2">
        <f t="shared" si="18"/>
        <v>397.96721338424942</v>
      </c>
      <c r="K45" s="2">
        <f t="shared" si="19"/>
        <v>14.599576354751674</v>
      </c>
      <c r="L45" s="2" t="s">
        <v>157</v>
      </c>
      <c r="M45" s="12" t="s">
        <v>142</v>
      </c>
      <c r="Q45" s="2">
        <v>97.387088869485524</v>
      </c>
      <c r="R45" s="2">
        <v>114.30890877947688</v>
      </c>
      <c r="S45" s="2">
        <v>88.304002351037582</v>
      </c>
      <c r="T45" s="2">
        <v>118.18211267340804</v>
      </c>
      <c r="U45" s="2">
        <v>80.790241259831831</v>
      </c>
      <c r="V45" s="2">
        <v>96.347559490701727</v>
      </c>
      <c r="W45" s="2">
        <v>84.551649330672277</v>
      </c>
      <c r="X45" s="2">
        <v>106.86727233800289</v>
      </c>
      <c r="Y45" s="2">
        <v>113.26116490738332</v>
      </c>
      <c r="Z45" s="2">
        <v>90.868834021097541</v>
      </c>
      <c r="AA45" s="2">
        <v>92.928429959089996</v>
      </c>
      <c r="AB45" s="2">
        <v>116.20273601981243</v>
      </c>
      <c r="AC45" s="2"/>
      <c r="AD45" s="2">
        <v>87.478741391636888</v>
      </c>
      <c r="AE45" s="2">
        <v>98.46107613941912</v>
      </c>
      <c r="AF45" s="2">
        <v>105.4620710800957</v>
      </c>
      <c r="AG45" s="2">
        <v>95.213162739377211</v>
      </c>
      <c r="AH45" s="2">
        <v>118.33865908253486</v>
      </c>
      <c r="AI45" s="2">
        <v>107.87910383333406</v>
      </c>
      <c r="AJ45" s="2"/>
      <c r="AK45" s="2">
        <v>189.58449641708734</v>
      </c>
      <c r="AL45" s="2">
        <v>294.87781496233907</v>
      </c>
      <c r="AM45" s="2">
        <v>150.22279596452938</v>
      </c>
      <c r="AN45" s="2">
        <v>202.86342865841601</v>
      </c>
      <c r="AO45" s="2">
        <v>196.31345039360835</v>
      </c>
      <c r="AP45" s="2">
        <v>218.25627723607667</v>
      </c>
      <c r="AQ45" s="2"/>
      <c r="AR45" s="2">
        <v>77.496854080550293</v>
      </c>
      <c r="AS45" s="2">
        <v>101.89304860168434</v>
      </c>
      <c r="AT45" s="2">
        <v>111.32230588032137</v>
      </c>
      <c r="AU45" s="2"/>
      <c r="AV45" s="2">
        <v>309.72103208108763</v>
      </c>
      <c r="AW45" s="2">
        <v>341.74086831856607</v>
      </c>
      <c r="AX45" s="2">
        <v>242.39410319888194</v>
      </c>
      <c r="AY45" s="2">
        <v>216.1700563263102</v>
      </c>
      <c r="AZ45" s="2">
        <v>258.29048940889112</v>
      </c>
      <c r="BA45" s="2"/>
      <c r="BB45" s="2">
        <v>188.3369324433549</v>
      </c>
      <c r="BC45" s="2">
        <v>192.51030461146098</v>
      </c>
      <c r="BD45" s="2">
        <v>229.70785406563257</v>
      </c>
      <c r="BE45" s="2">
        <v>178.50186399390716</v>
      </c>
      <c r="BF45" s="2">
        <v>215.54232601491333</v>
      </c>
      <c r="BG45" s="2">
        <v>233.37912771902248</v>
      </c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 x14ac:dyDescent="0.35">
      <c r="A46" s="1" t="s">
        <v>139</v>
      </c>
      <c r="B46" s="1" t="s">
        <v>43</v>
      </c>
      <c r="C46" s="2">
        <f t="shared" si="12"/>
        <v>100.00000000000001</v>
      </c>
      <c r="D46" s="2">
        <f t="shared" si="13"/>
        <v>104.70855108768787</v>
      </c>
      <c r="E46" s="2">
        <f t="shared" si="14"/>
        <v>196.87877506296752</v>
      </c>
      <c r="F46" s="2">
        <f t="shared" si="15"/>
        <v>83.715173561893749</v>
      </c>
      <c r="G46" s="2">
        <f t="shared" si="16"/>
        <v>252.62637470687605</v>
      </c>
      <c r="H46" s="2">
        <f t="shared" si="17"/>
        <v>184.06325618994921</v>
      </c>
      <c r="I46" s="2"/>
      <c r="J46" s="2">
        <f t="shared" si="18"/>
        <v>382.42288527411154</v>
      </c>
      <c r="K46" s="24">
        <f t="shared" si="19"/>
        <v>18.225206420801182</v>
      </c>
      <c r="L46" s="14" t="s">
        <v>142</v>
      </c>
      <c r="M46" s="12" t="s">
        <v>142</v>
      </c>
      <c r="Q46" s="2">
        <v>101.66603588647941</v>
      </c>
      <c r="R46" s="2">
        <v>93.661968094097929</v>
      </c>
      <c r="S46" s="2">
        <v>104.67199601942266</v>
      </c>
      <c r="T46" s="2">
        <v>99.253460451991018</v>
      </c>
      <c r="U46" s="2">
        <v>110.53078856094636</v>
      </c>
      <c r="V46" s="2">
        <v>98.832542557264659</v>
      </c>
      <c r="W46" s="2">
        <v>77.254409882069666</v>
      </c>
      <c r="X46" s="2">
        <v>108.72738904324331</v>
      </c>
      <c r="Y46" s="2">
        <v>105.40140950448502</v>
      </c>
      <c r="Z46" s="2">
        <v>96.665101802860335</v>
      </c>
      <c r="AA46" s="2">
        <v>105.82851569382808</v>
      </c>
      <c r="AB46" s="2">
        <v>97.506382503311613</v>
      </c>
      <c r="AC46" s="2"/>
      <c r="AD46" s="2">
        <v>92.867751683333623</v>
      </c>
      <c r="AE46" s="2">
        <v>97.647490574442671</v>
      </c>
      <c r="AF46" s="2">
        <v>97.271788957441402</v>
      </c>
      <c r="AG46" s="2">
        <v>108.8484347013929</v>
      </c>
      <c r="AH46" s="2">
        <v>117.55679404383775</v>
      </c>
      <c r="AI46" s="2">
        <v>114.05904656567897</v>
      </c>
      <c r="AJ46" s="2"/>
      <c r="AK46" s="2">
        <v>208.11800969215406</v>
      </c>
      <c r="AL46" s="2">
        <v>160.18146097956958</v>
      </c>
      <c r="AM46" s="2">
        <v>138.51636231160157</v>
      </c>
      <c r="AN46" s="2">
        <v>233.06403317473809</v>
      </c>
      <c r="AO46" s="2">
        <v>240.78127140958065</v>
      </c>
      <c r="AP46" s="2">
        <v>200.61151281016117</v>
      </c>
      <c r="AQ46" s="2"/>
      <c r="AR46" s="2">
        <v>87.40618694022892</v>
      </c>
      <c r="AS46" s="2">
        <v>80.20587822821841</v>
      </c>
      <c r="AT46" s="2">
        <v>83.533455517233932</v>
      </c>
      <c r="AU46" s="2"/>
      <c r="AV46" s="2">
        <v>231.91214807106746</v>
      </c>
      <c r="AW46" s="2">
        <v>251.27763188213621</v>
      </c>
      <c r="AX46" s="2">
        <v>283.89171148264876</v>
      </c>
      <c r="AY46" s="2">
        <v>292.68494799985257</v>
      </c>
      <c r="AZ46" s="2">
        <v>203.36543409867514</v>
      </c>
      <c r="BA46" s="2"/>
      <c r="BB46" s="2">
        <v>227.2597446389274</v>
      </c>
      <c r="BC46" s="2">
        <v>198.97239205140775</v>
      </c>
      <c r="BD46" s="2">
        <v>174.84294749504724</v>
      </c>
      <c r="BE46" s="2">
        <v>169.03043513556818</v>
      </c>
      <c r="BF46" s="2">
        <v>182.07144177691211</v>
      </c>
      <c r="BG46" s="2">
        <v>152.2025760418326</v>
      </c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 x14ac:dyDescent="0.35">
      <c r="A47" s="1" t="s">
        <v>62</v>
      </c>
      <c r="B47" s="1" t="s">
        <v>62</v>
      </c>
      <c r="C47" s="2">
        <f t="shared" si="12"/>
        <v>100.00000000000001</v>
      </c>
      <c r="D47" s="2">
        <f t="shared" si="13"/>
        <v>89.501981741565587</v>
      </c>
      <c r="E47" s="2">
        <f t="shared" si="14"/>
        <v>202.10358147943259</v>
      </c>
      <c r="F47" s="2">
        <f t="shared" si="15"/>
        <v>116.91382322430202</v>
      </c>
      <c r="G47" s="2">
        <f t="shared" si="16"/>
        <v>293.86725058794843</v>
      </c>
      <c r="H47" s="2">
        <f t="shared" si="17"/>
        <v>187.36303301340118</v>
      </c>
      <c r="I47" s="2"/>
      <c r="J47" s="2">
        <f t="shared" si="18"/>
        <v>332.5923954078761</v>
      </c>
      <c r="K47" s="2">
        <f t="shared" si="19"/>
        <v>7.3749943343037057</v>
      </c>
      <c r="L47" s="2" t="s">
        <v>157</v>
      </c>
      <c r="M47" s="27" t="s">
        <v>157</v>
      </c>
      <c r="Q47" s="2">
        <v>84.376139007002337</v>
      </c>
      <c r="R47" s="2">
        <v>143.29623443528044</v>
      </c>
      <c r="S47" s="2">
        <v>72.327626557717224</v>
      </c>
      <c r="T47" s="2">
        <v>60.862968947580498</v>
      </c>
      <c r="U47" s="2">
        <v>102.98674819755804</v>
      </c>
      <c r="V47" s="2">
        <v>110.20751196530745</v>
      </c>
      <c r="W47" s="2">
        <v>137.50750361546679</v>
      </c>
      <c r="X47" s="2">
        <v>78.387323480874869</v>
      </c>
      <c r="Y47" s="2">
        <v>110.04794379321243</v>
      </c>
      <c r="Z47" s="2">
        <v>112.09754987732032</v>
      </c>
      <c r="AA47" s="2">
        <v>72.345665461931901</v>
      </c>
      <c r="AB47" s="2">
        <v>115.55678466074779</v>
      </c>
      <c r="AC47" s="2"/>
      <c r="AD47" s="2">
        <v>80.67513228757872</v>
      </c>
      <c r="AE47" s="2">
        <v>102.38069434845312</v>
      </c>
      <c r="AF47" s="2">
        <v>75.979617929189573</v>
      </c>
      <c r="AG47" s="2">
        <v>79.094515446754201</v>
      </c>
      <c r="AH47" s="2">
        <v>100.00980645906756</v>
      </c>
      <c r="AI47" s="2">
        <v>98.872123978350345</v>
      </c>
      <c r="AJ47" s="2"/>
      <c r="AK47" s="2">
        <v>268.46575350253642</v>
      </c>
      <c r="AL47" s="2">
        <v>242.55340437757926</v>
      </c>
      <c r="AM47" s="2">
        <v>264.34364939939991</v>
      </c>
      <c r="AN47" s="2">
        <v>137.16327977966196</v>
      </c>
      <c r="AO47" s="2">
        <v>145.85354790544207</v>
      </c>
      <c r="AP47" s="2">
        <v>154.24185391197585</v>
      </c>
      <c r="AQ47" s="2"/>
      <c r="AR47" s="2">
        <v>102.54632208119617</v>
      </c>
      <c r="AS47" s="2">
        <v>136.66924091691945</v>
      </c>
      <c r="AT47" s="2">
        <v>111.52590667479046</v>
      </c>
      <c r="AU47" s="2"/>
      <c r="AV47" s="2">
        <v>315.56461377992065</v>
      </c>
      <c r="AW47" s="2">
        <v>434.24920852567118</v>
      </c>
      <c r="AX47" s="2">
        <v>175.08659913243986</v>
      </c>
      <c r="AY47" s="2">
        <v>235.62666275572667</v>
      </c>
      <c r="AZ47" s="2">
        <v>308.80916874598341</v>
      </c>
      <c r="BA47" s="2"/>
      <c r="BB47" s="2">
        <v>136.13199478614641</v>
      </c>
      <c r="BC47" s="2">
        <v>191.93915357833711</v>
      </c>
      <c r="BD47" s="2">
        <v>168.3429722121075</v>
      </c>
      <c r="BE47" s="2">
        <v>138.85396820321711</v>
      </c>
      <c r="BF47" s="2">
        <v>206.00300845881799</v>
      </c>
      <c r="BG47" s="2">
        <v>282.90710084178124</v>
      </c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 x14ac:dyDescent="0.35">
      <c r="A48" s="1" t="s">
        <v>124</v>
      </c>
      <c r="B48" s="1" t="s">
        <v>63</v>
      </c>
      <c r="C48" s="2">
        <f t="shared" si="12"/>
        <v>99.999999999999986</v>
      </c>
      <c r="D48" s="2">
        <f t="shared" si="13"/>
        <v>118.66501372927843</v>
      </c>
      <c r="E48" s="2">
        <f t="shared" si="14"/>
        <v>290.33801682961382</v>
      </c>
      <c r="F48" s="2">
        <f t="shared" si="15"/>
        <v>133.88347163058134</v>
      </c>
      <c r="G48" s="2">
        <f t="shared" si="16"/>
        <v>267.1747405113598</v>
      </c>
      <c r="H48" s="2">
        <f t="shared" si="17"/>
        <v>169.46489330076602</v>
      </c>
      <c r="I48" s="2"/>
      <c r="J48" s="2">
        <f t="shared" si="18"/>
        <v>325.32723574999557</v>
      </c>
      <c r="K48" s="2">
        <f t="shared" si="19"/>
        <v>8.4225871132391887</v>
      </c>
      <c r="L48" s="2" t="s">
        <v>157</v>
      </c>
      <c r="M48" s="12" t="s">
        <v>142</v>
      </c>
      <c r="Q48" s="2">
        <v>99.546747366344633</v>
      </c>
      <c r="R48" s="2">
        <v>125.23040076965833</v>
      </c>
      <c r="S48" s="2">
        <v>75.222851863996993</v>
      </c>
      <c r="T48" s="2">
        <v>71.10566252781986</v>
      </c>
      <c r="U48" s="2">
        <v>112.60821380629625</v>
      </c>
      <c r="V48" s="2">
        <v>123.79206521869438</v>
      </c>
      <c r="W48" s="2">
        <v>85.408215982404428</v>
      </c>
      <c r="X48" s="2">
        <v>89.909917351710476</v>
      </c>
      <c r="Y48" s="2">
        <v>117.17592511307453</v>
      </c>
      <c r="Z48" s="2">
        <v>87.1062570505309</v>
      </c>
      <c r="AA48" s="2">
        <v>93.347863999356804</v>
      </c>
      <c r="AB48" s="2">
        <v>119.54587895011232</v>
      </c>
      <c r="AC48" s="2"/>
      <c r="AD48" s="2">
        <v>94.816575193008546</v>
      </c>
      <c r="AE48" s="2">
        <v>110.16093029373044</v>
      </c>
      <c r="AF48" s="2">
        <v>129.53935005315154</v>
      </c>
      <c r="AG48" s="2">
        <v>109.20424245029213</v>
      </c>
      <c r="AH48" s="2">
        <v>132.09861260008682</v>
      </c>
      <c r="AI48" s="2">
        <v>136.17037178540102</v>
      </c>
      <c r="AJ48" s="2"/>
      <c r="AK48" s="2">
        <v>426.24892808690561</v>
      </c>
      <c r="AL48" s="2">
        <v>169.87321897679513</v>
      </c>
      <c r="AM48" s="2">
        <v>396.3165203027699</v>
      </c>
      <c r="AN48" s="2">
        <v>276.42083282937659</v>
      </c>
      <c r="AO48" s="2">
        <v>240.04991040660246</v>
      </c>
      <c r="AP48" s="2">
        <v>233.11869037523326</v>
      </c>
      <c r="AQ48" s="2"/>
      <c r="AR48" s="2">
        <v>105.89462238646446</v>
      </c>
      <c r="AS48" s="2">
        <v>138.16993720009421</v>
      </c>
      <c r="AT48" s="2">
        <v>157.58585530518533</v>
      </c>
      <c r="AU48" s="2"/>
      <c r="AV48" s="2">
        <v>252.53523164060564</v>
      </c>
      <c r="AW48" s="2">
        <v>341.29236279310533</v>
      </c>
      <c r="AX48" s="2">
        <v>223.39560025319255</v>
      </c>
      <c r="AY48" s="2">
        <v>270.94221722012389</v>
      </c>
      <c r="AZ48" s="2">
        <v>247.70829064977178</v>
      </c>
      <c r="BA48" s="2"/>
      <c r="BB48" s="2">
        <v>148.92358126136244</v>
      </c>
      <c r="BC48" s="2">
        <v>149.64612985246148</v>
      </c>
      <c r="BD48" s="2">
        <v>181.49367808064244</v>
      </c>
      <c r="BE48" s="2">
        <v>147.61660522815595</v>
      </c>
      <c r="BF48" s="2">
        <v>210.10445178007345</v>
      </c>
      <c r="BG48" s="2">
        <v>179.0049136019004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x14ac:dyDescent="0.35">
      <c r="A49" s="1" t="s">
        <v>38</v>
      </c>
      <c r="B49" s="1" t="s">
        <v>110</v>
      </c>
      <c r="C49" s="2">
        <f t="shared" si="12"/>
        <v>100</v>
      </c>
      <c r="D49" s="2">
        <f t="shared" si="13"/>
        <v>104.80422543456956</v>
      </c>
      <c r="E49" s="2">
        <f t="shared" si="14"/>
        <v>179.64451102041031</v>
      </c>
      <c r="F49" s="2">
        <f t="shared" si="15"/>
        <v>73.69251929256292</v>
      </c>
      <c r="G49" s="2">
        <f t="shared" si="16"/>
        <v>186.70233912722833</v>
      </c>
      <c r="H49" s="2">
        <f t="shared" si="17"/>
        <v>161.41150601716603</v>
      </c>
      <c r="I49" s="2"/>
      <c r="J49" s="2">
        <f t="shared" si="18"/>
        <v>306.68079828711592</v>
      </c>
      <c r="K49" s="24">
        <f t="shared" si="19"/>
        <v>17.14101078135754</v>
      </c>
      <c r="L49" s="2" t="s">
        <v>157</v>
      </c>
      <c r="M49" s="12" t="s">
        <v>142</v>
      </c>
      <c r="Q49" s="2">
        <v>93.540211637225454</v>
      </c>
      <c r="R49" s="2">
        <v>93.088083413534875</v>
      </c>
      <c r="S49" s="2">
        <v>113.37170494923963</v>
      </c>
      <c r="T49" s="2">
        <v>117.03149112329901</v>
      </c>
      <c r="U49" s="2">
        <v>85.231127531358709</v>
      </c>
      <c r="V49" s="2">
        <v>91.271805901879361</v>
      </c>
      <c r="W49" s="2">
        <v>104.93524130289038</v>
      </c>
      <c r="X49" s="2">
        <v>106.49850346761575</v>
      </c>
      <c r="Y49" s="2">
        <v>95.031830672956843</v>
      </c>
      <c r="Z49" s="2">
        <v>91.712111688921198</v>
      </c>
      <c r="AA49" s="2">
        <v>105.74167847386636</v>
      </c>
      <c r="AB49" s="2">
        <v>102.54620983721247</v>
      </c>
      <c r="AC49" s="2"/>
      <c r="AD49" s="2">
        <v>88.750089848717749</v>
      </c>
      <c r="AE49" s="2">
        <v>96.883939340581406</v>
      </c>
      <c r="AF49" s="2">
        <v>92.257960215155492</v>
      </c>
      <c r="AG49" s="2">
        <v>112.77244892513203</v>
      </c>
      <c r="AH49" s="2">
        <v>119.74937181378351</v>
      </c>
      <c r="AI49" s="2">
        <v>118.41154246404719</v>
      </c>
      <c r="AJ49" s="2"/>
      <c r="AK49" s="2">
        <v>146.01725701728535</v>
      </c>
      <c r="AL49" s="2">
        <v>138.46542977324242</v>
      </c>
      <c r="AM49" s="2">
        <v>193.79077165830944</v>
      </c>
      <c r="AN49" s="2">
        <v>187.35304610640898</v>
      </c>
      <c r="AO49" s="2">
        <v>213.11634368147205</v>
      </c>
      <c r="AP49" s="2">
        <v>199.12421788574369</v>
      </c>
      <c r="AQ49" s="2"/>
      <c r="AR49" s="2">
        <v>80.553082504788065</v>
      </c>
      <c r="AS49" s="2">
        <v>68.361728839782089</v>
      </c>
      <c r="AT49" s="2">
        <v>72.162746533118636</v>
      </c>
      <c r="AU49" s="2"/>
      <c r="AV49" s="2">
        <v>185.40760972754069</v>
      </c>
      <c r="AW49" s="2">
        <v>192.83659821175021</v>
      </c>
      <c r="AX49" s="2">
        <v>149.7789058642052</v>
      </c>
      <c r="AY49" s="2">
        <v>191.44035251472857</v>
      </c>
      <c r="AZ49" s="2">
        <v>214.04822931791691</v>
      </c>
      <c r="BA49" s="2"/>
      <c r="BB49" s="2">
        <v>124.89704172460932</v>
      </c>
      <c r="BC49" s="2">
        <v>158.64380509167643</v>
      </c>
      <c r="BD49" s="2">
        <v>178.31517735398566</v>
      </c>
      <c r="BE49" s="2">
        <v>183.30013041938511</v>
      </c>
      <c r="BF49" s="2">
        <v>142.11523303304094</v>
      </c>
      <c r="BG49" s="2">
        <v>181.19764848029865</v>
      </c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 x14ac:dyDescent="0.35">
      <c r="A50" s="1" t="s">
        <v>54</v>
      </c>
      <c r="B50" s="1" t="s">
        <v>54</v>
      </c>
      <c r="C50" s="2">
        <f t="shared" si="12"/>
        <v>100</v>
      </c>
      <c r="D50" s="2">
        <f t="shared" si="13"/>
        <v>110.7934058572348</v>
      </c>
      <c r="E50" s="2">
        <f t="shared" si="14"/>
        <v>196.91516041976206</v>
      </c>
      <c r="F50" s="2">
        <f t="shared" si="15"/>
        <v>80.019844310551164</v>
      </c>
      <c r="G50" s="2">
        <f t="shared" si="16"/>
        <v>177.73111653308666</v>
      </c>
      <c r="H50" s="2">
        <f t="shared" si="17"/>
        <v>164.61169364578635</v>
      </c>
      <c r="I50" s="2"/>
      <c r="J50" s="2">
        <f t="shared" si="18"/>
        <v>299.19843766698159</v>
      </c>
      <c r="K50" s="2">
        <f t="shared" si="19"/>
        <v>14.752997580023379</v>
      </c>
      <c r="L50" s="2" t="s">
        <v>157</v>
      </c>
      <c r="M50" s="12" t="s">
        <v>142</v>
      </c>
      <c r="Q50" s="2">
        <v>106.79849723550581</v>
      </c>
      <c r="R50" s="2">
        <v>81.951320974370788</v>
      </c>
      <c r="S50" s="2">
        <v>111.25018179012345</v>
      </c>
      <c r="T50" s="2">
        <v>119.19118481324625</v>
      </c>
      <c r="U50" s="2">
        <v>95.003803901741605</v>
      </c>
      <c r="V50" s="2">
        <v>92.813946415486868</v>
      </c>
      <c r="W50" s="2">
        <v>105.75633879024234</v>
      </c>
      <c r="X50" s="2">
        <v>95.165594695607183</v>
      </c>
      <c r="Y50" s="2">
        <v>92.069131383675739</v>
      </c>
      <c r="Z50" s="2">
        <v>93.598935099918066</v>
      </c>
      <c r="AA50" s="2">
        <v>102.33785082322079</v>
      </c>
      <c r="AB50" s="2">
        <v>104.06321407686114</v>
      </c>
      <c r="AC50" s="2"/>
      <c r="AD50" s="2">
        <v>85.086851192855505</v>
      </c>
      <c r="AE50" s="2">
        <v>94.433241358938844</v>
      </c>
      <c r="AF50" s="2">
        <v>90.746848918680627</v>
      </c>
      <c r="AG50" s="2">
        <v>117.20913894182496</v>
      </c>
      <c r="AH50" s="2">
        <v>143.62536666192935</v>
      </c>
      <c r="AI50" s="2">
        <v>133.65898806917943</v>
      </c>
      <c r="AJ50" s="2"/>
      <c r="AK50" s="2">
        <v>182.9347175095692</v>
      </c>
      <c r="AL50" s="2">
        <v>128.41412352229005</v>
      </c>
      <c r="AM50" s="2">
        <v>195.71874563942373</v>
      </c>
      <c r="AN50" s="2">
        <v>229.38216766179326</v>
      </c>
      <c r="AO50" s="2">
        <v>255.50480167651565</v>
      </c>
      <c r="AP50" s="2">
        <v>189.53640650898038</v>
      </c>
      <c r="AQ50" s="2"/>
      <c r="AR50" s="2">
        <v>84.643370451632862</v>
      </c>
      <c r="AS50" s="2">
        <v>71.547617928089537</v>
      </c>
      <c r="AT50" s="2">
        <v>83.868544551931095</v>
      </c>
      <c r="AU50" s="2"/>
      <c r="AV50" s="2">
        <v>165.42838490341617</v>
      </c>
      <c r="AW50" s="2">
        <v>153.81779970965533</v>
      </c>
      <c r="AX50" s="2">
        <v>213.27957578701603</v>
      </c>
      <c r="AY50" s="2">
        <v>191.48717261013388</v>
      </c>
      <c r="AZ50" s="2">
        <v>164.64264965521201</v>
      </c>
      <c r="BA50" s="2"/>
      <c r="BB50" s="2">
        <v>187.73423481890035</v>
      </c>
      <c r="BC50" s="2">
        <v>164.11669248402012</v>
      </c>
      <c r="BD50" s="2">
        <v>153.39521640767646</v>
      </c>
      <c r="BE50" s="2">
        <v>158.45102106449573</v>
      </c>
      <c r="BF50" s="2">
        <v>165.83967785710914</v>
      </c>
      <c r="BG50" s="2">
        <v>158.13331924251631</v>
      </c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 x14ac:dyDescent="0.35">
      <c r="A51" s="1" t="s">
        <v>65</v>
      </c>
      <c r="B51" s="1" t="s">
        <v>108</v>
      </c>
      <c r="C51" s="2">
        <f t="shared" si="12"/>
        <v>100.00000000000001</v>
      </c>
      <c r="D51" s="2">
        <f t="shared" si="13"/>
        <v>101.78364390727491</v>
      </c>
      <c r="E51" s="2">
        <f t="shared" si="14"/>
        <v>208.45823914921036</v>
      </c>
      <c r="F51" s="2">
        <f t="shared" si="15"/>
        <v>95.539020947572865</v>
      </c>
      <c r="G51" s="2">
        <f t="shared" si="16"/>
        <v>197.19111702433355</v>
      </c>
      <c r="H51" s="2">
        <f t="shared" si="17"/>
        <v>165.81917238012801</v>
      </c>
      <c r="I51" s="2"/>
      <c r="J51" s="2">
        <f t="shared" si="18"/>
        <v>284.85146571095322</v>
      </c>
      <c r="K51" s="2">
        <f t="shared" si="19"/>
        <v>12.377044161873423</v>
      </c>
      <c r="L51" s="14" t="s">
        <v>142</v>
      </c>
      <c r="M51" s="12" t="s">
        <v>142</v>
      </c>
      <c r="Q51" s="2">
        <v>107.7099273162402</v>
      </c>
      <c r="R51" s="2">
        <v>89.399781680127504</v>
      </c>
      <c r="S51" s="2">
        <v>102.89029100363227</v>
      </c>
      <c r="T51" s="2">
        <v>119.66072836076279</v>
      </c>
      <c r="U51" s="2">
        <v>86.269779989102474</v>
      </c>
      <c r="V51" s="2">
        <v>93.051321277793576</v>
      </c>
      <c r="W51" s="2">
        <v>109.17044602981329</v>
      </c>
      <c r="X51" s="2">
        <v>106.12100573102997</v>
      </c>
      <c r="Y51" s="2">
        <v>85.72671861149793</v>
      </c>
      <c r="Z51" s="2">
        <v>89.051782765958606</v>
      </c>
      <c r="AA51" s="2">
        <v>106.58271922342935</v>
      </c>
      <c r="AB51" s="2">
        <v>104.36549801061204</v>
      </c>
      <c r="AC51" s="2"/>
      <c r="AD51" s="2">
        <v>91.752169009037516</v>
      </c>
      <c r="AE51" s="2">
        <v>96.12376514369349</v>
      </c>
      <c r="AF51" s="2">
        <v>90.263067067189183</v>
      </c>
      <c r="AG51" s="2">
        <v>106.91231288045799</v>
      </c>
      <c r="AH51" s="2">
        <v>119.06024088467684</v>
      </c>
      <c r="AI51" s="2">
        <v>106.59030845859445</v>
      </c>
      <c r="AJ51" s="2"/>
      <c r="AK51" s="2">
        <v>147.36199108103696</v>
      </c>
      <c r="AL51" s="2">
        <v>167.71785472324669</v>
      </c>
      <c r="AM51" s="2">
        <v>160.99606763904302</v>
      </c>
      <c r="AN51" s="2">
        <v>222.16753803192682</v>
      </c>
      <c r="AO51" s="2">
        <v>262.09438433013759</v>
      </c>
      <c r="AP51" s="2">
        <v>290.41159908987095</v>
      </c>
      <c r="AQ51" s="2"/>
      <c r="AR51" s="2">
        <v>93.196293453493738</v>
      </c>
      <c r="AS51" s="2">
        <v>92.75216933880823</v>
      </c>
      <c r="AT51" s="2">
        <v>100.66860005041664</v>
      </c>
      <c r="AU51" s="2"/>
      <c r="AV51" s="2">
        <v>168.72271272069571</v>
      </c>
      <c r="AW51" s="2">
        <v>164.72612962137191</v>
      </c>
      <c r="AX51" s="2">
        <v>210.36846078458387</v>
      </c>
      <c r="AY51" s="2">
        <v>215.85009942840165</v>
      </c>
      <c r="AZ51" s="2">
        <v>226.28818256661449</v>
      </c>
      <c r="BA51" s="2"/>
      <c r="BB51" s="2">
        <v>143.92205151781008</v>
      </c>
      <c r="BC51" s="2">
        <v>175.38290662892516</v>
      </c>
      <c r="BD51" s="2">
        <v>194.03541170297856</v>
      </c>
      <c r="BE51" s="2">
        <v>169.71399570916762</v>
      </c>
      <c r="BF51" s="2">
        <v>129.98913498133274</v>
      </c>
      <c r="BG51" s="2">
        <v>181.87153374055387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x14ac:dyDescent="0.35">
      <c r="A52" s="1" t="s">
        <v>31</v>
      </c>
      <c r="B52" s="1" t="s">
        <v>116</v>
      </c>
      <c r="C52" s="2">
        <f t="shared" si="12"/>
        <v>100</v>
      </c>
      <c r="D52" s="2">
        <f t="shared" si="13"/>
        <v>121.69812212661064</v>
      </c>
      <c r="E52" s="2">
        <f t="shared" si="14"/>
        <v>175.60348545143577</v>
      </c>
      <c r="F52" s="2">
        <f t="shared" si="15"/>
        <v>96.121481407456614</v>
      </c>
      <c r="G52" s="2">
        <f t="shared" si="16"/>
        <v>231.77082450420818</v>
      </c>
      <c r="H52" s="2">
        <f t="shared" si="17"/>
        <v>165.25938188570058</v>
      </c>
      <c r="I52" s="2"/>
      <c r="J52" s="2">
        <f t="shared" si="18"/>
        <v>284.2692476189747</v>
      </c>
      <c r="K52" s="24">
        <f t="shared" si="19"/>
        <v>23.279081093669806</v>
      </c>
      <c r="L52" s="14" t="s">
        <v>142</v>
      </c>
      <c r="M52" s="12" t="s">
        <v>142</v>
      </c>
      <c r="Q52" s="2">
        <v>98.527510915468042</v>
      </c>
      <c r="R52" s="2">
        <v>94.788384227566183</v>
      </c>
      <c r="S52" s="2">
        <v>106.68410485696577</v>
      </c>
      <c r="T52" s="2">
        <v>123.15794395827018</v>
      </c>
      <c r="U52" s="2">
        <v>102.4050351300037</v>
      </c>
      <c r="V52" s="2">
        <v>84.417920419872075</v>
      </c>
      <c r="W52" s="2">
        <v>81.789674475994303</v>
      </c>
      <c r="X52" s="2">
        <v>91.723144915437402</v>
      </c>
      <c r="Y52" s="2">
        <v>116.50628110042231</v>
      </c>
      <c r="Z52" s="2">
        <v>98.991380454463979</v>
      </c>
      <c r="AA52" s="2">
        <v>104.57837952496862</v>
      </c>
      <c r="AB52" s="2">
        <v>96.430240020567368</v>
      </c>
      <c r="AC52" s="2"/>
      <c r="AD52" s="2">
        <v>100.82386509592965</v>
      </c>
      <c r="AE52" s="2">
        <v>110.58590301850737</v>
      </c>
      <c r="AF52" s="2">
        <v>112.96515708843506</v>
      </c>
      <c r="AG52" s="2">
        <v>126.24655801753073</v>
      </c>
      <c r="AH52" s="2">
        <v>140.6743423091589</v>
      </c>
      <c r="AI52" s="2">
        <v>138.89290723010211</v>
      </c>
      <c r="AJ52" s="2"/>
      <c r="AK52" s="2">
        <v>181.90381611295464</v>
      </c>
      <c r="AL52" s="2">
        <v>171.81552893650806</v>
      </c>
      <c r="AM52" s="2">
        <v>130.98669036756522</v>
      </c>
      <c r="AN52" s="2">
        <v>175.89377020383469</v>
      </c>
      <c r="AO52" s="2">
        <v>201.63215155460756</v>
      </c>
      <c r="AP52" s="2">
        <v>191.38895553314447</v>
      </c>
      <c r="AQ52" s="2"/>
      <c r="AR52" s="2">
        <v>94.318124273357483</v>
      </c>
      <c r="AS52" s="2">
        <v>95.686877938783297</v>
      </c>
      <c r="AT52" s="2">
        <v>98.359442010229074</v>
      </c>
      <c r="AU52" s="2"/>
      <c r="AV52" s="2">
        <v>235.07352927295094</v>
      </c>
      <c r="AW52" s="2">
        <v>232.61950446275037</v>
      </c>
      <c r="AX52" s="2">
        <v>227.00448558321216</v>
      </c>
      <c r="AY52" s="2">
        <v>243.02422427317828</v>
      </c>
      <c r="AZ52" s="2">
        <v>221.13237892894898</v>
      </c>
      <c r="BA52" s="2"/>
      <c r="BB52" s="2">
        <v>166.93342173061177</v>
      </c>
      <c r="BC52" s="2">
        <v>163.46670852624996</v>
      </c>
      <c r="BD52" s="2">
        <v>164.63891753272685</v>
      </c>
      <c r="BE52" s="2">
        <v>167.36801650240827</v>
      </c>
      <c r="BF52" s="2">
        <v>148.27079976580612</v>
      </c>
      <c r="BG52" s="2">
        <v>180.87842725640041</v>
      </c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  <row r="53" spans="1:73" x14ac:dyDescent="0.35">
      <c r="A53" s="1" t="s">
        <v>36</v>
      </c>
      <c r="B53" s="1" t="s">
        <v>36</v>
      </c>
      <c r="C53" s="2">
        <f t="shared" si="12"/>
        <v>100.00000000000001</v>
      </c>
      <c r="D53" s="2">
        <f t="shared" si="13"/>
        <v>104.82331586449133</v>
      </c>
      <c r="E53" s="2">
        <f t="shared" si="14"/>
        <v>162.54183402635994</v>
      </c>
      <c r="F53" s="2">
        <f t="shared" si="15"/>
        <v>71.765966545293807</v>
      </c>
      <c r="G53" s="2">
        <f t="shared" si="16"/>
        <v>180.28331572885207</v>
      </c>
      <c r="H53" s="2">
        <f t="shared" si="17"/>
        <v>154.52063154211174</v>
      </c>
      <c r="I53" s="2"/>
      <c r="J53" s="2">
        <f t="shared" si="18"/>
        <v>282.04788166144232</v>
      </c>
      <c r="K53" s="2">
        <f t="shared" si="19"/>
        <v>15.337819210173553</v>
      </c>
      <c r="L53" s="14" t="s">
        <v>142</v>
      </c>
      <c r="M53" s="12" t="s">
        <v>142</v>
      </c>
      <c r="Q53" s="2">
        <v>114.11724934731077</v>
      </c>
      <c r="R53" s="2">
        <v>77.568970087266621</v>
      </c>
      <c r="S53" s="2">
        <v>108.31378056542265</v>
      </c>
      <c r="T53" s="2">
        <v>118.52281061989066</v>
      </c>
      <c r="U53" s="2">
        <v>88.303960897784748</v>
      </c>
      <c r="V53" s="2">
        <v>94.259224509239374</v>
      </c>
      <c r="W53" s="2">
        <v>102.89603747452813</v>
      </c>
      <c r="X53" s="2">
        <v>96.383205500043076</v>
      </c>
      <c r="Y53" s="2">
        <v>99.634760998514139</v>
      </c>
      <c r="Z53" s="2">
        <v>93.152315564933517</v>
      </c>
      <c r="AA53" s="2">
        <v>108.06752241354017</v>
      </c>
      <c r="AB53" s="2">
        <v>98.780162021526323</v>
      </c>
      <c r="AC53" s="2"/>
      <c r="AD53" s="2">
        <v>88.336045199667893</v>
      </c>
      <c r="AE53" s="2">
        <v>104.85400686650165</v>
      </c>
      <c r="AF53" s="2">
        <v>93.194449852487367</v>
      </c>
      <c r="AG53" s="2">
        <v>108.16629496588675</v>
      </c>
      <c r="AH53" s="2">
        <v>121.09532084825102</v>
      </c>
      <c r="AI53" s="2">
        <v>113.29377745415337</v>
      </c>
      <c r="AJ53" s="2"/>
      <c r="AK53" s="2">
        <v>166.63719783276503</v>
      </c>
      <c r="AL53" s="2">
        <v>117.50420657870013</v>
      </c>
      <c r="AM53" s="2">
        <v>192.67998265180927</v>
      </c>
      <c r="AN53" s="2">
        <v>152.10383849079744</v>
      </c>
      <c r="AO53" s="2">
        <v>182.16870643001747</v>
      </c>
      <c r="AP53" s="2">
        <v>164.15707217407032</v>
      </c>
      <c r="AQ53" s="2"/>
      <c r="AR53" s="2">
        <v>78.601521923355236</v>
      </c>
      <c r="AS53" s="2">
        <v>66.355925462315938</v>
      </c>
      <c r="AT53" s="2">
        <v>70.340452250210248</v>
      </c>
      <c r="AU53" s="2"/>
      <c r="AV53" s="2">
        <v>167.85043429895245</v>
      </c>
      <c r="AW53" s="2">
        <v>165.48121219098215</v>
      </c>
      <c r="AX53" s="2">
        <v>210.27827060033331</v>
      </c>
      <c r="AY53" s="2">
        <v>203.885342283607</v>
      </c>
      <c r="AZ53" s="2">
        <v>153.92131927038554</v>
      </c>
      <c r="BA53" s="2"/>
      <c r="BB53" s="2">
        <v>193.67306899013366</v>
      </c>
      <c r="BC53" s="2">
        <v>167.45063394640033</v>
      </c>
      <c r="BD53" s="2">
        <v>127.98971578265095</v>
      </c>
      <c r="BE53" s="2">
        <v>148.94756769156544</v>
      </c>
      <c r="BF53" s="2">
        <v>172.67374108984404</v>
      </c>
      <c r="BG53" s="2">
        <v>116.3890617520761</v>
      </c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</row>
    <row r="54" spans="1:73" x14ac:dyDescent="0.35">
      <c r="A54" s="1" t="s">
        <v>59</v>
      </c>
      <c r="B54" s="1" t="s">
        <v>109</v>
      </c>
      <c r="C54" s="2">
        <f t="shared" si="12"/>
        <v>100.00000000000001</v>
      </c>
      <c r="D54" s="2">
        <f t="shared" si="13"/>
        <v>103.33171028260683</v>
      </c>
      <c r="E54" s="2">
        <f t="shared" si="14"/>
        <v>209.43434276148602</v>
      </c>
      <c r="F54" s="2">
        <f t="shared" si="15"/>
        <v>79.989889271159711</v>
      </c>
      <c r="G54" s="2">
        <f t="shared" si="16"/>
        <v>157.94605016309089</v>
      </c>
      <c r="H54" s="2">
        <f t="shared" si="17"/>
        <v>148.05326649332733</v>
      </c>
      <c r="I54" s="2"/>
      <c r="J54" s="2">
        <f t="shared" si="18"/>
        <v>275.46399160442508</v>
      </c>
      <c r="K54" s="2">
        <f t="shared" si="19"/>
        <v>14.166316610459702</v>
      </c>
      <c r="L54" s="2" t="s">
        <v>157</v>
      </c>
      <c r="M54" s="12" t="s">
        <v>142</v>
      </c>
      <c r="Q54" s="2">
        <v>94.035787888034946</v>
      </c>
      <c r="R54" s="2">
        <v>88.038607134774693</v>
      </c>
      <c r="S54" s="2">
        <v>117.92560497719035</v>
      </c>
      <c r="T54" s="2">
        <v>108.2400047136672</v>
      </c>
      <c r="U54" s="2">
        <v>103.097892044546</v>
      </c>
      <c r="V54" s="2">
        <v>100.99722201175723</v>
      </c>
      <c r="W54" s="2">
        <v>105.89215584505082</v>
      </c>
      <c r="X54" s="2">
        <v>101.81006198158991</v>
      </c>
      <c r="Y54" s="2">
        <v>79.962663403388831</v>
      </c>
      <c r="Z54" s="2">
        <v>99.689254618698413</v>
      </c>
      <c r="AA54" s="2">
        <v>110.47937393663589</v>
      </c>
      <c r="AB54" s="2">
        <v>89.83137144466572</v>
      </c>
      <c r="AC54" s="2"/>
      <c r="AD54" s="2">
        <v>98.139415377994695</v>
      </c>
      <c r="AE54" s="2">
        <v>96.966483261346283</v>
      </c>
      <c r="AF54" s="2">
        <v>91.888320771912362</v>
      </c>
      <c r="AG54" s="2">
        <v>113.84104597075489</v>
      </c>
      <c r="AH54" s="2">
        <v>112.74589099736389</v>
      </c>
      <c r="AI54" s="2">
        <v>106.40910531626898</v>
      </c>
      <c r="AJ54" s="2"/>
      <c r="AK54" s="2">
        <v>209.56731874346116</v>
      </c>
      <c r="AL54" s="2">
        <v>138.04027023196036</v>
      </c>
      <c r="AM54" s="2">
        <v>191.54640640614522</v>
      </c>
      <c r="AN54" s="2">
        <v>252.70355195408345</v>
      </c>
      <c r="AO54" s="2">
        <v>265.63127234675875</v>
      </c>
      <c r="AP54" s="2">
        <v>199.11723688650713</v>
      </c>
      <c r="AQ54" s="2"/>
      <c r="AR54" s="2">
        <v>88.873577170139811</v>
      </c>
      <c r="AS54" s="2">
        <v>77.671767604860008</v>
      </c>
      <c r="AT54" s="2">
        <v>73.424323038479301</v>
      </c>
      <c r="AU54" s="2"/>
      <c r="AV54" s="2">
        <v>159.45237332438955</v>
      </c>
      <c r="AW54" s="2">
        <v>184.00163876055231</v>
      </c>
      <c r="AX54" s="2">
        <v>138.52144343043415</v>
      </c>
      <c r="AY54" s="2">
        <v>140.52824013425743</v>
      </c>
      <c r="AZ54" s="2">
        <v>167.22655516582111</v>
      </c>
      <c r="BA54" s="2"/>
      <c r="BB54" s="2">
        <v>118.92969414188907</v>
      </c>
      <c r="BC54" s="2">
        <v>123.21386417454904</v>
      </c>
      <c r="BD54" s="2">
        <v>159.46050800367098</v>
      </c>
      <c r="BE54" s="2">
        <v>175.65491938176427</v>
      </c>
      <c r="BF54" s="2">
        <v>140.70903997950768</v>
      </c>
      <c r="BG54" s="2">
        <v>170.35157327858286</v>
      </c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</row>
    <row r="55" spans="1:73" x14ac:dyDescent="0.35">
      <c r="A55" s="1" t="s">
        <v>60</v>
      </c>
      <c r="B55" s="1" t="s">
        <v>111</v>
      </c>
      <c r="C55" s="2">
        <f t="shared" si="12"/>
        <v>100</v>
      </c>
      <c r="D55" s="2">
        <f t="shared" si="13"/>
        <v>108.7846285156068</v>
      </c>
      <c r="E55" s="2">
        <f t="shared" si="14"/>
        <v>175.52297135297317</v>
      </c>
      <c r="F55" s="2">
        <f t="shared" si="15"/>
        <v>74.862218943039991</v>
      </c>
      <c r="G55" s="2">
        <f t="shared" si="16"/>
        <v>167.70475445614164</v>
      </c>
      <c r="H55" s="2">
        <f t="shared" si="17"/>
        <v>153.02901334799597</v>
      </c>
      <c r="I55" s="2"/>
      <c r="J55" s="2">
        <f t="shared" si="18"/>
        <v>271.67008232799083</v>
      </c>
      <c r="K55" s="2">
        <f t="shared" si="19"/>
        <v>15.982201989407633</v>
      </c>
      <c r="L55" s="14" t="s">
        <v>142</v>
      </c>
      <c r="M55" s="12" t="s">
        <v>142</v>
      </c>
      <c r="Q55" s="2">
        <v>102.11600535853046</v>
      </c>
      <c r="R55" s="2">
        <v>84.139507471632939</v>
      </c>
      <c r="S55" s="2">
        <v>113.74448716983659</v>
      </c>
      <c r="T55" s="2">
        <v>124.90067887771285</v>
      </c>
      <c r="U55" s="2">
        <v>97.882350551497154</v>
      </c>
      <c r="V55" s="2">
        <v>91.805601640410643</v>
      </c>
      <c r="W55" s="2">
        <v>82.731028455553201</v>
      </c>
      <c r="X55" s="2">
        <v>104.34865933376946</v>
      </c>
      <c r="Y55" s="2">
        <v>98.331681141056663</v>
      </c>
      <c r="Z55" s="2">
        <v>96.230863254486451</v>
      </c>
      <c r="AA55" s="2">
        <v>109.72726738548575</v>
      </c>
      <c r="AB55" s="2">
        <v>94.041869360027832</v>
      </c>
      <c r="AC55" s="2"/>
      <c r="AD55" s="2">
        <v>99.350076089250891</v>
      </c>
      <c r="AE55" s="2">
        <v>100.24618385988444</v>
      </c>
      <c r="AF55" s="2">
        <v>95.612263424185201</v>
      </c>
      <c r="AG55" s="2">
        <v>119.06463820710965</v>
      </c>
      <c r="AH55" s="2">
        <v>119.97367036950122</v>
      </c>
      <c r="AI55" s="2">
        <v>118.46093914370945</v>
      </c>
      <c r="AJ55" s="2"/>
      <c r="AK55" s="2">
        <v>158.36132723775364</v>
      </c>
      <c r="AL55" s="2">
        <v>138.27402523083609</v>
      </c>
      <c r="AM55" s="2">
        <v>112.90116017345717</v>
      </c>
      <c r="AN55" s="2">
        <v>210.77594360625727</v>
      </c>
      <c r="AO55" s="2">
        <v>235.32126960611475</v>
      </c>
      <c r="AP55" s="2">
        <v>197.50410226341992</v>
      </c>
      <c r="AQ55" s="2"/>
      <c r="AR55" s="2">
        <v>83.135926214650212</v>
      </c>
      <c r="AS55" s="2">
        <v>70.212444479366567</v>
      </c>
      <c r="AT55" s="2">
        <v>71.238286135103181</v>
      </c>
      <c r="AU55" s="2"/>
      <c r="AV55" s="2">
        <v>148.50703895547861</v>
      </c>
      <c r="AW55" s="2">
        <v>161.40301975424575</v>
      </c>
      <c r="AX55" s="2">
        <v>186.13133892167053</v>
      </c>
      <c r="AY55" s="2">
        <v>167.67738830342572</v>
      </c>
      <c r="AZ55" s="2">
        <v>174.80498634588753</v>
      </c>
      <c r="BA55" s="2"/>
      <c r="BB55" s="2">
        <v>150.2905087827782</v>
      </c>
      <c r="BC55" s="2">
        <v>169.410081400975</v>
      </c>
      <c r="BD55" s="2">
        <v>157.13937832500224</v>
      </c>
      <c r="BE55" s="2">
        <v>152.47416104629099</v>
      </c>
      <c r="BF55" s="2">
        <v>137.26901445879017</v>
      </c>
      <c r="BG55" s="2">
        <v>151.59093607413931</v>
      </c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</row>
    <row r="56" spans="1:73" x14ac:dyDescent="0.35">
      <c r="A56" s="1" t="s">
        <v>67</v>
      </c>
      <c r="B56" s="1" t="s">
        <v>113</v>
      </c>
      <c r="C56" s="2">
        <f t="shared" si="12"/>
        <v>100</v>
      </c>
      <c r="D56" s="2">
        <f t="shared" si="13"/>
        <v>86.075687464014038</v>
      </c>
      <c r="E56" s="2">
        <f t="shared" si="14"/>
        <v>226.86204472969806</v>
      </c>
      <c r="F56" s="2">
        <f t="shared" si="15"/>
        <v>115.8752158904443</v>
      </c>
      <c r="G56" s="2">
        <f t="shared" si="16"/>
        <v>206.91851883728049</v>
      </c>
      <c r="H56" s="2">
        <f t="shared" si="17"/>
        <v>170.62984188400435</v>
      </c>
      <c r="I56" s="2"/>
      <c r="J56" s="2">
        <f t="shared" si="18"/>
        <v>256.78475777965002</v>
      </c>
      <c r="K56" s="2">
        <f t="shared" si="19"/>
        <v>9.8765949373192914</v>
      </c>
      <c r="L56" s="14" t="s">
        <v>142</v>
      </c>
      <c r="M56" s="12" t="s">
        <v>142</v>
      </c>
      <c r="Q56" s="2">
        <v>93.58557948985279</v>
      </c>
      <c r="R56" s="2">
        <v>98.978987166414171</v>
      </c>
      <c r="S56" s="2">
        <v>107.43543334373305</v>
      </c>
      <c r="T56" s="2">
        <v>114.74022463533089</v>
      </c>
      <c r="U56" s="2">
        <v>87.952898916749646</v>
      </c>
      <c r="V56" s="2">
        <v>80.185787324965503</v>
      </c>
      <c r="W56" s="2">
        <v>107.64138774669125</v>
      </c>
      <c r="X56" s="2">
        <v>110.39201913597171</v>
      </c>
      <c r="Y56" s="2">
        <v>99.087682240290988</v>
      </c>
      <c r="Z56" s="2">
        <v>94.636638897222525</v>
      </c>
      <c r="AA56" s="2">
        <v>111.00968189502196</v>
      </c>
      <c r="AB56" s="2">
        <v>94.353679207755533</v>
      </c>
      <c r="AC56" s="2"/>
      <c r="AD56" s="2">
        <v>103.29980242721074</v>
      </c>
      <c r="AE56" s="2">
        <v>86.433332501068151</v>
      </c>
      <c r="AF56" s="2">
        <v>85.469551614840071</v>
      </c>
      <c r="AG56" s="2">
        <v>83.236091693670957</v>
      </c>
      <c r="AH56" s="2">
        <v>81.386312636280607</v>
      </c>
      <c r="AI56" s="2">
        <v>76.629033911013693</v>
      </c>
      <c r="AJ56" s="2"/>
      <c r="AK56" s="2">
        <v>197.88684447875647</v>
      </c>
      <c r="AL56" s="2">
        <v>176.20412410462774</v>
      </c>
      <c r="AM56" s="2">
        <v>118.94400711317591</v>
      </c>
      <c r="AN56" s="2">
        <v>285.95029181399821</v>
      </c>
      <c r="AO56" s="2">
        <v>292.7329344332465</v>
      </c>
      <c r="AP56" s="2">
        <v>289.45406643438361</v>
      </c>
      <c r="AQ56" s="2"/>
      <c r="AR56" s="2">
        <v>125.51059861157465</v>
      </c>
      <c r="AS56" s="2">
        <v>113.93806936514693</v>
      </c>
      <c r="AT56" s="2">
        <v>108.17697969461128</v>
      </c>
      <c r="AU56" s="2"/>
      <c r="AV56" s="2">
        <v>180.15255628229161</v>
      </c>
      <c r="AW56" s="2">
        <v>170.30591033207241</v>
      </c>
      <c r="AX56" s="2">
        <v>219.02892317312049</v>
      </c>
      <c r="AY56" s="2">
        <v>245.15162642526548</v>
      </c>
      <c r="AZ56" s="2">
        <v>219.95357797365261</v>
      </c>
      <c r="BA56" s="2"/>
      <c r="BB56" s="2">
        <v>195.35480264212953</v>
      </c>
      <c r="BC56" s="2">
        <v>192.85610228724917</v>
      </c>
      <c r="BD56" s="2">
        <v>168.35493663008484</v>
      </c>
      <c r="BE56" s="2">
        <v>177.6394226807567</v>
      </c>
      <c r="BF56" s="2">
        <v>133.70615556679115</v>
      </c>
      <c r="BG56" s="2">
        <v>155.86763149701477</v>
      </c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</row>
    <row r="57" spans="1:73" x14ac:dyDescent="0.35">
      <c r="A57" s="1" t="s">
        <v>57</v>
      </c>
      <c r="B57" s="1" t="s">
        <v>57</v>
      </c>
      <c r="C57" s="2">
        <f t="shared" si="12"/>
        <v>100</v>
      </c>
      <c r="D57" s="2">
        <f t="shared" si="13"/>
        <v>74.38669846994226</v>
      </c>
      <c r="E57" s="2">
        <f t="shared" si="14"/>
        <v>190.01736043131811</v>
      </c>
      <c r="F57" s="2">
        <f t="shared" si="15"/>
        <v>92.757305263618449</v>
      </c>
      <c r="G57" s="2">
        <f t="shared" si="16"/>
        <v>199.38127554426643</v>
      </c>
      <c r="H57" s="2">
        <f t="shared" si="17"/>
        <v>138.74097339925811</v>
      </c>
      <c r="I57" s="2"/>
      <c r="J57" s="2">
        <f t="shared" si="18"/>
        <v>249.86769358398726</v>
      </c>
      <c r="K57" s="2">
        <f t="shared" si="19"/>
        <v>11.033330867845841</v>
      </c>
      <c r="L57" s="2" t="s">
        <v>157</v>
      </c>
      <c r="M57" s="27" t="s">
        <v>157</v>
      </c>
      <c r="Q57" s="2">
        <v>111.81525409768227</v>
      </c>
      <c r="R57" s="2">
        <v>110.07272658092178</v>
      </c>
      <c r="S57" s="2">
        <v>78.112019321395891</v>
      </c>
      <c r="T57" s="2">
        <v>89.186452360375597</v>
      </c>
      <c r="U57" s="2">
        <v>102.90856588687096</v>
      </c>
      <c r="V57" s="2">
        <v>103.83580494707024</v>
      </c>
      <c r="W57" s="2">
        <v>124.00497138276647</v>
      </c>
      <c r="X57" s="2">
        <v>93.431242345575541</v>
      </c>
      <c r="Y57" s="2">
        <v>86.632963077341103</v>
      </c>
      <c r="Z57" s="2">
        <v>107.5217494590927</v>
      </c>
      <c r="AA57" s="2">
        <v>108.44571625302351</v>
      </c>
      <c r="AB57" s="2">
        <v>84.032534287883777</v>
      </c>
      <c r="AC57" s="2"/>
      <c r="AD57" s="2">
        <v>99.849027831768652</v>
      </c>
      <c r="AE57" s="2">
        <v>84.955609479463533</v>
      </c>
      <c r="AF57" s="2">
        <v>77.084312328349569</v>
      </c>
      <c r="AG57" s="2">
        <v>71.074706014747605</v>
      </c>
      <c r="AH57" s="2">
        <v>58.145887260510442</v>
      </c>
      <c r="AI57" s="2">
        <v>55.210647904813754</v>
      </c>
      <c r="AJ57" s="2"/>
      <c r="AK57" s="2">
        <v>152.29058537780833</v>
      </c>
      <c r="AL57" s="2">
        <v>259.41492038734685</v>
      </c>
      <c r="AM57" s="2">
        <v>175.07325315332341</v>
      </c>
      <c r="AN57" s="2">
        <v>159.92450752411932</v>
      </c>
      <c r="AO57" s="2">
        <v>176.73324487139101</v>
      </c>
      <c r="AP57" s="2">
        <v>216.66765127391957</v>
      </c>
      <c r="AQ57" s="2"/>
      <c r="AR57" s="2">
        <v>101.10414861749025</v>
      </c>
      <c r="AS57" s="2">
        <v>95.689130053493955</v>
      </c>
      <c r="AT57" s="2">
        <v>81.478637119871181</v>
      </c>
      <c r="AU57" s="2"/>
      <c r="AV57" s="2">
        <v>169.43237291754417</v>
      </c>
      <c r="AW57" s="2">
        <v>167.82928801462148</v>
      </c>
      <c r="AX57" s="2">
        <v>231.79044136865451</v>
      </c>
      <c r="AY57" s="2">
        <v>230.45279347408834</v>
      </c>
      <c r="AZ57" s="2">
        <v>197.40148194642362</v>
      </c>
      <c r="BA57" s="2"/>
      <c r="BB57" s="2">
        <v>172.99594113500419</v>
      </c>
      <c r="BC57" s="2">
        <v>159.44776366012607</v>
      </c>
      <c r="BD57" s="2">
        <v>124.33263665019778</v>
      </c>
      <c r="BE57" s="2">
        <v>112.61657013820029</v>
      </c>
      <c r="BF57" s="2">
        <v>140.10288308885944</v>
      </c>
      <c r="BG57" s="2">
        <v>122.9500457231609</v>
      </c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</row>
    <row r="58" spans="1:73" x14ac:dyDescent="0.35">
      <c r="A58" s="1" t="s">
        <v>53</v>
      </c>
      <c r="B58" s="1" t="s">
        <v>117</v>
      </c>
      <c r="C58" s="2">
        <f t="shared" si="12"/>
        <v>99.999999999999986</v>
      </c>
      <c r="D58" s="2">
        <f t="shared" si="13"/>
        <v>109.24255199785871</v>
      </c>
      <c r="E58" s="2">
        <f t="shared" si="14"/>
        <v>180.55165765791682</v>
      </c>
      <c r="F58" s="2">
        <f t="shared" si="15"/>
        <v>79.399659161637331</v>
      </c>
      <c r="G58" s="2">
        <f t="shared" si="16"/>
        <v>151.48418945324343</v>
      </c>
      <c r="H58" s="2">
        <f t="shared" si="17"/>
        <v>145.61587986032211</v>
      </c>
      <c r="I58" s="2"/>
      <c r="J58" s="2">
        <f t="shared" si="18"/>
        <v>239.45274948657038</v>
      </c>
      <c r="K58" s="24">
        <f t="shared" si="19"/>
        <v>18.344034632646714</v>
      </c>
      <c r="L58" s="14" t="s">
        <v>142</v>
      </c>
      <c r="M58" s="12" t="s">
        <v>142</v>
      </c>
      <c r="Q58" s="2">
        <v>104.8397833826977</v>
      </c>
      <c r="R58" s="2">
        <v>85.423766437201493</v>
      </c>
      <c r="S58" s="2">
        <v>109.73645018010079</v>
      </c>
      <c r="T58" s="2">
        <v>117.63967595613134</v>
      </c>
      <c r="U58" s="2">
        <v>93.078103604038304</v>
      </c>
      <c r="V58" s="2">
        <v>91.4552085141341</v>
      </c>
      <c r="W58" s="2">
        <v>99.197773630977423</v>
      </c>
      <c r="X58" s="2">
        <v>104.32649770214219</v>
      </c>
      <c r="Y58" s="2">
        <v>94.302740592576555</v>
      </c>
      <c r="Z58" s="2">
        <v>90.610565915488934</v>
      </c>
      <c r="AA58" s="2">
        <v>103.89822196905922</v>
      </c>
      <c r="AB58" s="2">
        <v>105.49121211545186</v>
      </c>
      <c r="AC58" s="2"/>
      <c r="AD58" s="2">
        <v>88.956033840562881</v>
      </c>
      <c r="AE58" s="2">
        <v>100.54537888774821</v>
      </c>
      <c r="AF58" s="2">
        <v>94.945384410576253</v>
      </c>
      <c r="AG58" s="2">
        <v>117.71281436776074</v>
      </c>
      <c r="AH58" s="2">
        <v>130.44195566903392</v>
      </c>
      <c r="AI58" s="2">
        <v>122.85374481147029</v>
      </c>
      <c r="AJ58" s="2"/>
      <c r="AK58" s="2">
        <v>171.95669138863749</v>
      </c>
      <c r="AL58" s="2">
        <v>131.40971214963264</v>
      </c>
      <c r="AM58" s="2">
        <v>170.63939113621612</v>
      </c>
      <c r="AN58" s="2">
        <v>204.94111031090841</v>
      </c>
      <c r="AO58" s="2">
        <v>226.06640305272944</v>
      </c>
      <c r="AP58" s="2">
        <v>178.29663790937678</v>
      </c>
      <c r="AQ58" s="2"/>
      <c r="AR58" s="2">
        <v>83.442344838195993</v>
      </c>
      <c r="AS58" s="2">
        <v>73.784596334838383</v>
      </c>
      <c r="AT58" s="2">
        <v>80.972036311877616</v>
      </c>
      <c r="AU58" s="2"/>
      <c r="AV58" s="2">
        <v>146.24973849314284</v>
      </c>
      <c r="AW58" s="2">
        <v>143.37271694705925</v>
      </c>
      <c r="AX58" s="2">
        <v>153.74311134253739</v>
      </c>
      <c r="AY58" s="2">
        <v>163.85759693697673</v>
      </c>
      <c r="AZ58" s="2">
        <v>150.19778354650094</v>
      </c>
      <c r="BA58" s="2"/>
      <c r="BB58" s="2">
        <v>136.31188093884384</v>
      </c>
      <c r="BC58" s="2">
        <v>146.03511522080626</v>
      </c>
      <c r="BD58" s="2">
        <v>147.42351965662249</v>
      </c>
      <c r="BE58" s="2">
        <v>155.60138172835536</v>
      </c>
      <c r="BF58" s="2">
        <v>139.41405426827529</v>
      </c>
      <c r="BG58" s="2">
        <v>148.90932734902933</v>
      </c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</row>
    <row r="59" spans="1:73" x14ac:dyDescent="0.35">
      <c r="A59" s="1" t="s">
        <v>64</v>
      </c>
      <c r="B59" s="1" t="s">
        <v>123</v>
      </c>
      <c r="C59" s="2">
        <f t="shared" si="12"/>
        <v>100</v>
      </c>
      <c r="D59" s="2">
        <f t="shared" si="13"/>
        <v>95.07418502038324</v>
      </c>
      <c r="E59" s="2">
        <f t="shared" si="14"/>
        <v>212.04169260856091</v>
      </c>
      <c r="F59" s="2">
        <f t="shared" si="15"/>
        <v>104.95313343274269</v>
      </c>
      <c r="G59" s="2">
        <f t="shared" si="16"/>
        <v>203.17703647653363</v>
      </c>
      <c r="H59" s="2">
        <f t="shared" si="17"/>
        <v>135.63178420349641</v>
      </c>
      <c r="I59" s="2"/>
      <c r="J59" s="2">
        <f t="shared" si="18"/>
        <v>235.99111299036286</v>
      </c>
      <c r="K59" s="2">
        <f t="shared" si="19"/>
        <v>9.4127286026182784</v>
      </c>
      <c r="L59" s="2" t="s">
        <v>157</v>
      </c>
      <c r="M59" s="12" t="s">
        <v>142</v>
      </c>
      <c r="Q59" s="2">
        <v>115.63687843131142</v>
      </c>
      <c r="R59" s="2">
        <v>107.63067716069474</v>
      </c>
      <c r="S59" s="2">
        <v>76.732444407993853</v>
      </c>
      <c r="T59" s="2">
        <v>91.093085531956277</v>
      </c>
      <c r="U59" s="2">
        <v>106.9521083216509</v>
      </c>
      <c r="V59" s="2">
        <v>108.3250744522778</v>
      </c>
      <c r="W59" s="2">
        <v>107.58549254011925</v>
      </c>
      <c r="X59" s="2">
        <v>103.62653982333792</v>
      </c>
      <c r="Y59" s="2">
        <v>82.417699330657783</v>
      </c>
      <c r="Z59" s="2">
        <v>94.877851646728274</v>
      </c>
      <c r="AA59" s="2">
        <v>106.67387338042002</v>
      </c>
      <c r="AB59" s="2">
        <v>98.448274972851664</v>
      </c>
      <c r="AC59" s="2"/>
      <c r="AD59" s="2">
        <v>103.4634683138655</v>
      </c>
      <c r="AE59" s="2">
        <v>105.20143256707837</v>
      </c>
      <c r="AF59" s="2">
        <v>104.30200858129872</v>
      </c>
      <c r="AG59" s="2">
        <v>83.260966646531671</v>
      </c>
      <c r="AH59" s="2">
        <v>88.135702151816758</v>
      </c>
      <c r="AI59" s="2">
        <v>86.081531861708413</v>
      </c>
      <c r="AJ59" s="2"/>
      <c r="AK59" s="2">
        <v>230.23142224539387</v>
      </c>
      <c r="AL59" s="2">
        <v>217.67735383784287</v>
      </c>
      <c r="AM59" s="2">
        <v>159.78231585172185</v>
      </c>
      <c r="AN59" s="2">
        <v>159.66764989069736</v>
      </c>
      <c r="AO59" s="2">
        <v>223.39406293608144</v>
      </c>
      <c r="AP59" s="2">
        <v>281.49735088962814</v>
      </c>
      <c r="AQ59" s="2"/>
      <c r="AR59" s="2">
        <v>97.117255118060427</v>
      </c>
      <c r="AS59" s="2">
        <v>110.07192774804258</v>
      </c>
      <c r="AT59" s="2">
        <v>107.67021743212507</v>
      </c>
      <c r="AU59" s="2"/>
      <c r="AV59" s="2">
        <v>160.0326746349615</v>
      </c>
      <c r="AW59" s="2">
        <v>138.87090375858915</v>
      </c>
      <c r="AX59" s="2">
        <v>252.33733207164138</v>
      </c>
      <c r="AY59" s="2">
        <v>251.19788623109127</v>
      </c>
      <c r="AZ59" s="2">
        <v>213.44638568638484</v>
      </c>
      <c r="BA59" s="2"/>
      <c r="BB59" s="2">
        <v>162.63005121238612</v>
      </c>
      <c r="BC59" s="2">
        <v>155.24610921165996</v>
      </c>
      <c r="BD59" s="2">
        <v>136.84284253402902</v>
      </c>
      <c r="BE59" s="2">
        <v>98.2778308893499</v>
      </c>
      <c r="BF59" s="2">
        <v>122.87385897916064</v>
      </c>
      <c r="BG59" s="2">
        <v>137.92001239439276</v>
      </c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</row>
    <row r="60" spans="1:73" x14ac:dyDescent="0.35">
      <c r="A60" s="1" t="s">
        <v>69</v>
      </c>
      <c r="B60" s="1" t="s">
        <v>69</v>
      </c>
      <c r="C60" s="2">
        <f t="shared" si="12"/>
        <v>99.999999999999986</v>
      </c>
      <c r="D60" s="2">
        <f t="shared" si="13"/>
        <v>101.63797347689378</v>
      </c>
      <c r="E60" s="2">
        <f t="shared" si="14"/>
        <v>228.12448722478143</v>
      </c>
      <c r="F60" s="2">
        <f t="shared" si="15"/>
        <v>116.94300787014889</v>
      </c>
      <c r="G60" s="2">
        <f t="shared" si="16"/>
        <v>208.15686111092387</v>
      </c>
      <c r="H60" s="2">
        <f t="shared" si="17"/>
        <v>149.90876138647897</v>
      </c>
      <c r="I60" s="2"/>
      <c r="J60" s="2">
        <f t="shared" si="18"/>
        <v>235.36108611173762</v>
      </c>
      <c r="K60" s="2">
        <f t="shared" si="19"/>
        <v>8.9378414214497042</v>
      </c>
      <c r="L60" s="2" t="s">
        <v>157</v>
      </c>
      <c r="M60" s="12" t="s">
        <v>142</v>
      </c>
      <c r="Q60" s="2">
        <v>96.33682774635497</v>
      </c>
      <c r="R60" s="2">
        <v>112.13657813015384</v>
      </c>
      <c r="S60" s="2">
        <v>91.526594123491165</v>
      </c>
      <c r="T60" s="2">
        <v>82.500750998206712</v>
      </c>
      <c r="U60" s="2">
        <v>92.061728286274672</v>
      </c>
      <c r="V60" s="2">
        <v>128.53408718284174</v>
      </c>
      <c r="W60" s="2">
        <v>117.25745752604676</v>
      </c>
      <c r="X60" s="2">
        <v>85.316756003745496</v>
      </c>
      <c r="Y60" s="2">
        <v>94.329220002884526</v>
      </c>
      <c r="Z60" s="2">
        <v>104.59141132055099</v>
      </c>
      <c r="AA60" s="2">
        <v>96.065569702800957</v>
      </c>
      <c r="AB60" s="2">
        <v>99.34301897664804</v>
      </c>
      <c r="AC60" s="2"/>
      <c r="AD60" s="2">
        <v>102.04688950733772</v>
      </c>
      <c r="AE60" s="2">
        <v>115.13633853099167</v>
      </c>
      <c r="AF60" s="2">
        <v>124.51148943745523</v>
      </c>
      <c r="AG60" s="2">
        <v>77.596705594394948</v>
      </c>
      <c r="AH60" s="2">
        <v>91.983679247420781</v>
      </c>
      <c r="AI60" s="2">
        <v>98.552738543762274</v>
      </c>
      <c r="AJ60" s="2"/>
      <c r="AK60" s="2">
        <v>196.88247171471076</v>
      </c>
      <c r="AL60" s="2">
        <v>333.58039158955955</v>
      </c>
      <c r="AM60" s="2">
        <v>264.98637344275159</v>
      </c>
      <c r="AN60" s="2">
        <v>169.02461063348932</v>
      </c>
      <c r="AO60" s="2">
        <v>190.64065510643843</v>
      </c>
      <c r="AP60" s="2">
        <v>213.63242086173884</v>
      </c>
      <c r="AQ60" s="2"/>
      <c r="AR60" s="2">
        <v>110.78666196141251</v>
      </c>
      <c r="AS60" s="2">
        <v>134.3421429524326</v>
      </c>
      <c r="AT60" s="2">
        <v>105.70021869660154</v>
      </c>
      <c r="AU60" s="2"/>
      <c r="AV60" s="2">
        <v>188.13552836049519</v>
      </c>
      <c r="AW60" s="2">
        <v>239.15345505126268</v>
      </c>
      <c r="AX60" s="2">
        <v>183.04636121443718</v>
      </c>
      <c r="AY60" s="2">
        <v>207.51453976992124</v>
      </c>
      <c r="AZ60" s="2">
        <v>222.93442115850294</v>
      </c>
      <c r="BA60" s="2"/>
      <c r="BB60" s="2">
        <v>152.28931774028246</v>
      </c>
      <c r="BC60" s="2">
        <v>171.81154014200604</v>
      </c>
      <c r="BD60" s="2">
        <v>144.15474659513663</v>
      </c>
      <c r="BE60" s="2">
        <v>103.78133330534543</v>
      </c>
      <c r="BF60" s="2">
        <v>185.31290486028445</v>
      </c>
      <c r="BG60" s="2">
        <v>142.10272567581873</v>
      </c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</row>
    <row r="61" spans="1:73" x14ac:dyDescent="0.35">
      <c r="A61" s="1" t="s">
        <v>66</v>
      </c>
      <c r="B61" s="1" t="s">
        <v>134</v>
      </c>
      <c r="C61" s="2">
        <f t="shared" si="12"/>
        <v>100.00000000000001</v>
      </c>
      <c r="D61" s="2">
        <f t="shared" si="13"/>
        <v>100.53468099085478</v>
      </c>
      <c r="E61" s="2">
        <f t="shared" si="14"/>
        <v>164.5106621049967</v>
      </c>
      <c r="F61" s="2">
        <f t="shared" si="15"/>
        <v>88.357036959925395</v>
      </c>
      <c r="G61" s="2">
        <f t="shared" si="16"/>
        <v>172.74939439997743</v>
      </c>
      <c r="H61" s="2">
        <f t="shared" si="17"/>
        <v>153.01395813755357</v>
      </c>
      <c r="I61" s="2"/>
      <c r="J61" s="2">
        <f t="shared" si="18"/>
        <v>225.20290376275153</v>
      </c>
      <c r="K61" s="2">
        <f t="shared" si="19"/>
        <v>9.8154923723173066</v>
      </c>
      <c r="L61" s="2" t="s">
        <v>157</v>
      </c>
      <c r="M61" s="27" t="s">
        <v>157</v>
      </c>
      <c r="Q61" s="2">
        <v>100.0938437558648</v>
      </c>
      <c r="R61" s="2">
        <v>129.3042583181159</v>
      </c>
      <c r="S61" s="2">
        <v>70.601897926019333</v>
      </c>
      <c r="T61" s="2">
        <v>78.323452944392585</v>
      </c>
      <c r="U61" s="2">
        <v>98.778467456456937</v>
      </c>
      <c r="V61" s="2">
        <v>120.97781884073493</v>
      </c>
      <c r="W61" s="2">
        <v>97.495186405618668</v>
      </c>
      <c r="X61" s="2">
        <v>84.318069949771086</v>
      </c>
      <c r="Y61" s="2">
        <v>120.10700440302581</v>
      </c>
      <c r="Z61" s="2">
        <v>94.821996358977657</v>
      </c>
      <c r="AA61" s="2">
        <v>92.207292410572563</v>
      </c>
      <c r="AB61" s="2">
        <v>112.97071123044977</v>
      </c>
      <c r="AC61" s="2"/>
      <c r="AD61" s="2">
        <v>90.660055845037164</v>
      </c>
      <c r="AE61" s="2">
        <v>87.418090039174245</v>
      </c>
      <c r="AF61" s="2">
        <v>105.94578681493472</v>
      </c>
      <c r="AG61" s="2">
        <v>107.88229563185466</v>
      </c>
      <c r="AH61" s="2">
        <v>96.637487471750646</v>
      </c>
      <c r="AI61" s="2">
        <v>114.66437014237725</v>
      </c>
      <c r="AJ61" s="2"/>
      <c r="AK61" s="2">
        <v>253.85196708888088</v>
      </c>
      <c r="AL61" s="2">
        <v>180.68598819234916</v>
      </c>
      <c r="AM61" s="2">
        <v>149.84607815665638</v>
      </c>
      <c r="AN61" s="2">
        <v>114.76388039169842</v>
      </c>
      <c r="AO61" s="2">
        <v>140.6995372650988</v>
      </c>
      <c r="AP61" s="2">
        <v>147.21652153529661</v>
      </c>
      <c r="AQ61" s="2"/>
      <c r="AR61" s="2">
        <v>85.362156942773851</v>
      </c>
      <c r="AS61" s="2">
        <v>83.567424902301269</v>
      </c>
      <c r="AT61" s="2">
        <v>96.14152903470108</v>
      </c>
      <c r="AU61" s="2"/>
      <c r="AV61" s="2">
        <v>174.2728330679318</v>
      </c>
      <c r="AW61" s="2">
        <v>184.36486626711491</v>
      </c>
      <c r="AX61" s="2">
        <v>155.37186685942658</v>
      </c>
      <c r="AY61" s="2">
        <v>157.82937871476597</v>
      </c>
      <c r="AZ61" s="2">
        <v>191.90802709064783</v>
      </c>
      <c r="BA61" s="2"/>
      <c r="BB61" s="2">
        <v>175.71424986492875</v>
      </c>
      <c r="BC61" s="2">
        <v>131.26520683908078</v>
      </c>
      <c r="BD61" s="2">
        <v>148.14267517658038</v>
      </c>
      <c r="BE61" s="2">
        <v>103.42480519466534</v>
      </c>
      <c r="BF61" s="2">
        <v>212.77133964510588</v>
      </c>
      <c r="BG61" s="2">
        <v>146.76547210496034</v>
      </c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</row>
    <row r="62" spans="1:73" x14ac:dyDescent="0.35">
      <c r="A62" s="1" t="s">
        <v>20</v>
      </c>
      <c r="B62" s="1" t="s">
        <v>20</v>
      </c>
      <c r="C62" s="2">
        <f t="shared" si="12"/>
        <v>100</v>
      </c>
      <c r="D62" s="2">
        <f t="shared" si="13"/>
        <v>103.60187016147863</v>
      </c>
      <c r="E62" s="2">
        <f t="shared" si="14"/>
        <v>156.72848324717489</v>
      </c>
      <c r="F62" s="2">
        <f t="shared" si="15"/>
        <v>108.71764004361427</v>
      </c>
      <c r="G62" s="2">
        <f t="shared" si="16"/>
        <v>182.11278940957089</v>
      </c>
      <c r="H62" s="2">
        <f t="shared" si="17"/>
        <v>150.22211578348561</v>
      </c>
      <c r="I62" s="2"/>
      <c r="J62" s="2">
        <f t="shared" si="18"/>
        <v>162.91046830938859</v>
      </c>
      <c r="K62" s="2">
        <f t="shared" si="19"/>
        <v>9.9209319331103263</v>
      </c>
      <c r="L62" s="2" t="s">
        <v>157</v>
      </c>
      <c r="M62" s="12" t="s">
        <v>142</v>
      </c>
      <c r="Q62" s="2">
        <v>105.91408640848437</v>
      </c>
      <c r="R62" s="2">
        <v>105.54628162504332</v>
      </c>
      <c r="S62" s="2">
        <v>88.539631966472271</v>
      </c>
      <c r="T62" s="2">
        <v>106.63967528756267</v>
      </c>
      <c r="U62" s="2">
        <v>94.016416469460538</v>
      </c>
      <c r="V62" s="2">
        <v>97.9374263685567</v>
      </c>
      <c r="W62" s="2">
        <v>83.736042041324978</v>
      </c>
      <c r="X62" s="2">
        <v>97.772690968320575</v>
      </c>
      <c r="Y62" s="2">
        <v>119.89774886477457</v>
      </c>
      <c r="Z62" s="2">
        <v>92.705605277101796</v>
      </c>
      <c r="AA62" s="2">
        <v>100.67350791650108</v>
      </c>
      <c r="AB62" s="2">
        <v>106.62088680639715</v>
      </c>
      <c r="AC62" s="2"/>
      <c r="AD62" s="2">
        <v>82.651779968030766</v>
      </c>
      <c r="AE62" s="2">
        <v>100.265070687882</v>
      </c>
      <c r="AF62" s="2">
        <v>100.94671389462637</v>
      </c>
      <c r="AG62" s="2">
        <v>105.50245199083578</v>
      </c>
      <c r="AH62" s="2">
        <v>116.39323825483342</v>
      </c>
      <c r="AI62" s="2">
        <v>115.8519661726634</v>
      </c>
      <c r="AJ62" s="2"/>
      <c r="AK62" s="2">
        <v>158.66680128706523</v>
      </c>
      <c r="AL62" s="2">
        <v>167.49761827121444</v>
      </c>
      <c r="AM62" s="2">
        <v>148.38663089030447</v>
      </c>
      <c r="AN62" s="2">
        <v>149.36058697380005</v>
      </c>
      <c r="AO62" s="2">
        <v>145.88241597291088</v>
      </c>
      <c r="AP62" s="2">
        <v>170.57684608775432</v>
      </c>
      <c r="AQ62" s="2"/>
      <c r="AR62" s="2">
        <v>105.69944560370732</v>
      </c>
      <c r="AS62" s="2">
        <v>105.29740742026253</v>
      </c>
      <c r="AT62" s="2">
        <v>115.15606710687298</v>
      </c>
      <c r="AU62" s="2"/>
      <c r="AV62" s="2">
        <v>182.62935151501702</v>
      </c>
      <c r="AW62" s="2">
        <v>161.52974337446685</v>
      </c>
      <c r="AX62" s="2">
        <v>196.48400093602095</v>
      </c>
      <c r="AY62" s="2">
        <v>218.12324130968165</v>
      </c>
      <c r="AZ62" s="2">
        <v>151.79760991266809</v>
      </c>
      <c r="BA62" s="2"/>
      <c r="BB62" s="2">
        <v>193.29401722927875</v>
      </c>
      <c r="BC62" s="2">
        <v>190.02629976931451</v>
      </c>
      <c r="BD62" s="2">
        <v>125.46916686962064</v>
      </c>
      <c r="BE62" s="2">
        <v>118.91783194781164</v>
      </c>
      <c r="BF62" s="2">
        <v>147.80476043747834</v>
      </c>
      <c r="BG62" s="2">
        <v>125.82061844740973</v>
      </c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</row>
    <row r="63" spans="1:73" x14ac:dyDescent="0.35">
      <c r="A63" s="1" t="s">
        <v>34</v>
      </c>
      <c r="B63" s="1" t="s">
        <v>34</v>
      </c>
      <c r="C63" s="2">
        <f t="shared" si="12"/>
        <v>100</v>
      </c>
      <c r="D63" s="2">
        <f t="shared" si="13"/>
        <v>96.675963143426088</v>
      </c>
      <c r="E63" s="2">
        <f t="shared" si="14"/>
        <v>148.99165047113911</v>
      </c>
      <c r="F63" s="2">
        <f t="shared" si="15"/>
        <v>92.445545516496395</v>
      </c>
      <c r="G63" s="2">
        <f t="shared" si="16"/>
        <v>143.37149060557516</v>
      </c>
      <c r="H63" s="2">
        <f t="shared" si="17"/>
        <v>127.12117029259296</v>
      </c>
      <c r="I63" s="2"/>
      <c r="J63" s="2">
        <f t="shared" si="18"/>
        <v>142.14767481981806</v>
      </c>
      <c r="K63" s="2">
        <f t="shared" si="19"/>
        <v>10.578488784422289</v>
      </c>
      <c r="L63" s="2" t="s">
        <v>157</v>
      </c>
      <c r="M63" s="12" t="s">
        <v>142</v>
      </c>
      <c r="Q63" s="2">
        <v>103.41049529996576</v>
      </c>
      <c r="R63" s="2">
        <v>83.060681996965698</v>
      </c>
      <c r="S63" s="2">
        <v>113.52882270306856</v>
      </c>
      <c r="T63" s="2">
        <v>114.942344405623</v>
      </c>
      <c r="U63" s="2">
        <v>91.520268329309715</v>
      </c>
      <c r="V63" s="2">
        <v>91.441213891809909</v>
      </c>
      <c r="W63" s="2">
        <v>83.207406453636835</v>
      </c>
      <c r="X63" s="2">
        <v>101.12553700559073</v>
      </c>
      <c r="Y63" s="2">
        <v>117.76322991402976</v>
      </c>
      <c r="Z63" s="2">
        <v>109.4876859148012</v>
      </c>
      <c r="AA63" s="2">
        <v>106.43298263915703</v>
      </c>
      <c r="AB63" s="2">
        <v>84.079331446041778</v>
      </c>
      <c r="AC63" s="2"/>
      <c r="AD63" s="2">
        <v>117.08947262533263</v>
      </c>
      <c r="AE63" s="2">
        <v>102.80172298560751</v>
      </c>
      <c r="AF63" s="2">
        <v>97.684741887043316</v>
      </c>
      <c r="AG63" s="2">
        <v>92.311097959398523</v>
      </c>
      <c r="AH63" s="2">
        <v>86.027637172457972</v>
      </c>
      <c r="AI63" s="2">
        <v>84.141106230716602</v>
      </c>
      <c r="AJ63" s="2"/>
      <c r="AK63" s="2">
        <v>172.83921206355291</v>
      </c>
      <c r="AL63" s="2">
        <v>143.04939599266262</v>
      </c>
      <c r="AM63" s="2">
        <v>141.93493056262844</v>
      </c>
      <c r="AN63" s="2">
        <v>154.62512039996255</v>
      </c>
      <c r="AO63" s="2">
        <v>139.51445341750599</v>
      </c>
      <c r="AP63" s="2">
        <v>141.98679039052223</v>
      </c>
      <c r="AQ63" s="2"/>
      <c r="AR63" s="2">
        <v>109.64581426799418</v>
      </c>
      <c r="AS63" s="2">
        <v>87.462025818021942</v>
      </c>
      <c r="AT63" s="2">
        <v>80.228796463473074</v>
      </c>
      <c r="AU63" s="2"/>
      <c r="AV63" s="2">
        <v>146.81763775314968</v>
      </c>
      <c r="AW63" s="2">
        <v>160.67800250418367</v>
      </c>
      <c r="AX63" s="2">
        <v>138.82944530491719</v>
      </c>
      <c r="AY63" s="2">
        <v>136.68074698779029</v>
      </c>
      <c r="AZ63" s="2">
        <v>133.85162047783518</v>
      </c>
      <c r="BA63" s="2"/>
      <c r="BB63" s="2">
        <v>133.1998374468613</v>
      </c>
      <c r="BC63" s="2">
        <v>144.1659670500062</v>
      </c>
      <c r="BD63" s="2">
        <v>106.85823703591225</v>
      </c>
      <c r="BE63" s="2">
        <v>117.30489524305969</v>
      </c>
      <c r="BF63" s="2">
        <v>146.52732064652534</v>
      </c>
      <c r="BG63" s="2">
        <v>114.67076433319286</v>
      </c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</row>
    <row r="64" spans="1:73" x14ac:dyDescent="0.35">
      <c r="A64" s="1" t="s">
        <v>61</v>
      </c>
      <c r="B64" s="1" t="s">
        <v>61</v>
      </c>
      <c r="C64" s="2">
        <f t="shared" si="12"/>
        <v>100</v>
      </c>
      <c r="D64" s="2">
        <f t="shared" si="13"/>
        <v>105.98554062335643</v>
      </c>
      <c r="E64" s="2">
        <f t="shared" si="14"/>
        <v>167.82757385683587</v>
      </c>
      <c r="F64" s="2">
        <f t="shared" si="15"/>
        <v>101.27334885015703</v>
      </c>
      <c r="G64" s="2">
        <f t="shared" si="16"/>
        <v>130.13599185159487</v>
      </c>
      <c r="H64" s="2">
        <f t="shared" si="17"/>
        <v>132.54170567819588</v>
      </c>
      <c r="I64" s="2"/>
      <c r="J64" s="2">
        <f t="shared" si="18"/>
        <v>126.68522483615556</v>
      </c>
      <c r="K64" s="2">
        <f t="shared" si="19"/>
        <v>9.3463309940168049</v>
      </c>
      <c r="L64" s="14" t="s">
        <v>142</v>
      </c>
      <c r="M64" s="12" t="s">
        <v>142</v>
      </c>
      <c r="Q64" s="2">
        <v>103.75476399486843</v>
      </c>
      <c r="R64" s="2">
        <v>91.952691884559911</v>
      </c>
      <c r="S64" s="2">
        <v>104.29254412057161</v>
      </c>
      <c r="T64" s="2">
        <v>107.49329096612979</v>
      </c>
      <c r="U64" s="2">
        <v>95.230766705334233</v>
      </c>
      <c r="V64" s="2">
        <v>102.27879742390886</v>
      </c>
      <c r="W64" s="2">
        <v>78.679670855442424</v>
      </c>
      <c r="X64" s="2">
        <v>107.98630075094633</v>
      </c>
      <c r="Y64" s="2">
        <v>108.33117329823833</v>
      </c>
      <c r="Z64" s="2">
        <v>107.49385731169305</v>
      </c>
      <c r="AA64" s="2">
        <v>102.57470562509234</v>
      </c>
      <c r="AB64" s="2">
        <v>89.931437063214645</v>
      </c>
      <c r="AC64" s="2"/>
      <c r="AD64" s="2">
        <v>124.26666455785387</v>
      </c>
      <c r="AE64" s="2">
        <v>107.53334748845614</v>
      </c>
      <c r="AF64" s="2">
        <v>103.21078222875292</v>
      </c>
      <c r="AG64" s="2">
        <v>106.63973934290505</v>
      </c>
      <c r="AH64" s="2">
        <v>94.958100705313669</v>
      </c>
      <c r="AI64" s="2">
        <v>99.30460941685692</v>
      </c>
      <c r="AJ64" s="2"/>
      <c r="AK64" s="2">
        <v>185.1079286863224</v>
      </c>
      <c r="AL64" s="2">
        <v>164.49598398384717</v>
      </c>
      <c r="AM64" s="2">
        <v>204.55961409857144</v>
      </c>
      <c r="AN64" s="2">
        <v>155.20861451628872</v>
      </c>
      <c r="AO64" s="2">
        <v>152.73789187367754</v>
      </c>
      <c r="AP64" s="2">
        <v>144.85540998230786</v>
      </c>
      <c r="AQ64" s="2"/>
      <c r="AR64" s="2">
        <v>119.28550126750179</v>
      </c>
      <c r="AS64" s="2">
        <v>96.983440803296844</v>
      </c>
      <c r="AT64" s="2">
        <v>87.551104479672446</v>
      </c>
      <c r="AU64" s="2"/>
      <c r="AV64" s="2">
        <v>133.36177626344764</v>
      </c>
      <c r="AW64" s="2">
        <v>134.33098314351022</v>
      </c>
      <c r="AX64" s="2">
        <v>135.15993259249402</v>
      </c>
      <c r="AY64" s="2">
        <v>127.18527770057241</v>
      </c>
      <c r="AZ64" s="2">
        <v>120.64198955795001</v>
      </c>
      <c r="BA64" s="2"/>
      <c r="BB64" s="2">
        <v>145.31033596591092</v>
      </c>
      <c r="BC64" s="2">
        <v>140.70861352272374</v>
      </c>
      <c r="BD64" s="2">
        <v>113.1203241759743</v>
      </c>
      <c r="BE64" s="2">
        <v>125.26712039906865</v>
      </c>
      <c r="BF64" s="2">
        <v>154.7142087797063</v>
      </c>
      <c r="BG64" s="2">
        <v>116.12963122579146</v>
      </c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</row>
    <row r="65" spans="1:73" x14ac:dyDescent="0.35">
      <c r="A65" s="1" t="s">
        <v>68</v>
      </c>
      <c r="B65" s="1" t="s">
        <v>128</v>
      </c>
      <c r="C65" s="2">
        <f t="shared" si="12"/>
        <v>100</v>
      </c>
      <c r="D65" s="2">
        <f t="shared" si="13"/>
        <v>99.114813828952904</v>
      </c>
      <c r="E65" s="2">
        <f t="shared" si="14"/>
        <v>133.53074748862687</v>
      </c>
      <c r="F65" s="2">
        <f t="shared" si="15"/>
        <v>99.942166570092681</v>
      </c>
      <c r="G65" s="2">
        <f t="shared" si="16"/>
        <v>146.00854282389159</v>
      </c>
      <c r="H65" s="2">
        <f t="shared" si="17"/>
        <v>139.12954065901971</v>
      </c>
      <c r="I65" s="2"/>
      <c r="J65" s="2">
        <f t="shared" si="18"/>
        <v>118.84233126126014</v>
      </c>
      <c r="K65" s="2">
        <f t="shared" si="19"/>
        <v>8.1011928925445851</v>
      </c>
      <c r="L65" s="2" t="s">
        <v>157</v>
      </c>
      <c r="M65" s="12" t="s">
        <v>142</v>
      </c>
      <c r="Q65" s="2">
        <v>103.02168457593172</v>
      </c>
      <c r="R65" s="2">
        <v>89.771150710369056</v>
      </c>
      <c r="S65" s="2">
        <v>107.20716471369926</v>
      </c>
      <c r="T65" s="2">
        <v>110.16859236360955</v>
      </c>
      <c r="U65" s="2">
        <v>99.649237029822075</v>
      </c>
      <c r="V65" s="2">
        <v>93.89615980688356</v>
      </c>
      <c r="W65" s="2">
        <v>94.4500718634538</v>
      </c>
      <c r="X65" s="2">
        <v>104.38373542999484</v>
      </c>
      <c r="Y65" s="2">
        <v>97.452203506236245</v>
      </c>
      <c r="Z65" s="2">
        <v>109.45014948516285</v>
      </c>
      <c r="AA65" s="2">
        <v>107.74579861524475</v>
      </c>
      <c r="AB65" s="2">
        <v>82.804051899592366</v>
      </c>
      <c r="AC65" s="2"/>
      <c r="AD65" s="2">
        <v>116.38923580039624</v>
      </c>
      <c r="AE65" s="2">
        <v>96.911946437149652</v>
      </c>
      <c r="AF65" s="2">
        <v>92.176016246731862</v>
      </c>
      <c r="AG65" s="2">
        <v>110.31611798297428</v>
      </c>
      <c r="AH65" s="2">
        <v>92.400406965225983</v>
      </c>
      <c r="AI65" s="2">
        <v>86.495159541239431</v>
      </c>
      <c r="AJ65" s="2"/>
      <c r="AK65" s="2">
        <v>118.04699281407265</v>
      </c>
      <c r="AL65" s="2">
        <v>122.32295142767838</v>
      </c>
      <c r="AM65" s="2">
        <v>90.825045091217802</v>
      </c>
      <c r="AN65" s="2">
        <v>156.37101221389648</v>
      </c>
      <c r="AO65" s="2">
        <v>158.97398820299895</v>
      </c>
      <c r="AP65" s="2">
        <v>154.64449518189687</v>
      </c>
      <c r="AQ65" s="2"/>
      <c r="AR65" s="2">
        <v>117.1504301138949</v>
      </c>
      <c r="AS65" s="2">
        <v>101.82070165948197</v>
      </c>
      <c r="AT65" s="2">
        <v>80.85536793690116</v>
      </c>
      <c r="AU65" s="2"/>
      <c r="AV65" s="2">
        <v>131.77305939252929</v>
      </c>
      <c r="AW65" s="2">
        <v>147.67201472829828</v>
      </c>
      <c r="AX65" s="2">
        <v>148.74605725311295</v>
      </c>
      <c r="AY65" s="2">
        <v>140.47932768403524</v>
      </c>
      <c r="AZ65" s="2">
        <v>161.37225506148221</v>
      </c>
      <c r="BA65" s="2"/>
      <c r="BB65" s="2">
        <v>139.8089106312234</v>
      </c>
      <c r="BC65" s="2">
        <v>148.07518703360978</v>
      </c>
      <c r="BD65" s="2">
        <v>132.55063371628245</v>
      </c>
      <c r="BE65" s="2">
        <v>136.40469966586443</v>
      </c>
      <c r="BF65" s="2">
        <v>123.53570034966691</v>
      </c>
      <c r="BG65" s="2">
        <v>154.40211255747127</v>
      </c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</row>
    <row r="66" spans="1:73" x14ac:dyDescent="0.35">
      <c r="A66" s="1"/>
      <c r="B66" s="1"/>
      <c r="C66" s="2"/>
      <c r="D66" s="2"/>
      <c r="E66" s="3"/>
      <c r="F66" s="2"/>
      <c r="G66" s="2"/>
      <c r="H66" s="2"/>
      <c r="I66" s="2"/>
      <c r="J66" s="2"/>
      <c r="K66" s="2"/>
      <c r="L66" s="27"/>
      <c r="M66" s="27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</row>
    <row r="67" spans="1:73" x14ac:dyDescent="0.35">
      <c r="D67" s="33" t="s">
        <v>167</v>
      </c>
      <c r="E67" s="33"/>
      <c r="I67" s="33" t="s">
        <v>168</v>
      </c>
      <c r="J67" s="33"/>
      <c r="K67" s="33" t="s">
        <v>169</v>
      </c>
      <c r="L67" s="33"/>
    </row>
    <row r="68" spans="1:73" x14ac:dyDescent="0.35">
      <c r="D68" s="11" t="s">
        <v>143</v>
      </c>
      <c r="E68" s="9" t="s">
        <v>153</v>
      </c>
      <c r="I68" s="11" t="s">
        <v>147</v>
      </c>
      <c r="J68" s="17" t="s">
        <v>148</v>
      </c>
      <c r="K68" s="26" t="s">
        <v>164</v>
      </c>
      <c r="L68" s="1" t="s">
        <v>160</v>
      </c>
    </row>
    <row r="69" spans="1:73" x14ac:dyDescent="0.35">
      <c r="D69" s="11" t="s">
        <v>144</v>
      </c>
      <c r="E69" s="10" t="s">
        <v>154</v>
      </c>
      <c r="I69" s="11" t="s">
        <v>145</v>
      </c>
      <c r="J69" s="18" t="s">
        <v>149</v>
      </c>
      <c r="K69" s="25" t="s">
        <v>163</v>
      </c>
      <c r="L69" s="1" t="s">
        <v>159</v>
      </c>
    </row>
    <row r="70" spans="1:73" x14ac:dyDescent="0.35">
      <c r="D70" s="11" t="s">
        <v>145</v>
      </c>
      <c r="E70" s="19" t="s">
        <v>149</v>
      </c>
      <c r="I70" s="11" t="s">
        <v>146</v>
      </c>
      <c r="J70" s="21" t="s">
        <v>150</v>
      </c>
      <c r="K70" s="15"/>
      <c r="L70" s="28"/>
      <c r="M70" s="28"/>
    </row>
    <row r="71" spans="1:73" x14ac:dyDescent="0.35">
      <c r="D71" s="11" t="s">
        <v>146</v>
      </c>
      <c r="E71" s="20" t="s">
        <v>155</v>
      </c>
      <c r="I71" s="16" t="s">
        <v>152</v>
      </c>
      <c r="J71" s="22" t="s">
        <v>151</v>
      </c>
      <c r="K71" s="15"/>
      <c r="L71" s="28"/>
      <c r="M71" s="28"/>
    </row>
  </sheetData>
  <mergeCells count="3">
    <mergeCell ref="D67:E67"/>
    <mergeCell ref="I67:J67"/>
    <mergeCell ref="K67:L67"/>
  </mergeCells>
  <conditionalFormatting sqref="K66:L66 K2 K5 K7:K65">
    <cfRule type="top10" dxfId="21" priority="25" rank="5"/>
  </conditionalFormatting>
  <conditionalFormatting sqref="D2:I2 D5:I66">
    <cfRule type="cellIs" dxfId="20" priority="21" operator="greaterThan">
      <formula>1000</formula>
    </cfRule>
    <cfRule type="cellIs" dxfId="19" priority="22" operator="greaterThan">
      <formula>500</formula>
    </cfRule>
    <cfRule type="cellIs" dxfId="18" priority="23" operator="greaterThan">
      <formula>200</formula>
    </cfRule>
    <cfRule type="cellIs" dxfId="17" priority="24" operator="greaterThan">
      <formula>150</formula>
    </cfRule>
  </conditionalFormatting>
  <conditionalFormatting sqref="J5:J65">
    <cfRule type="cellIs" dxfId="16" priority="16" operator="greaterThan">
      <formula>5000</formula>
    </cfRule>
    <cfRule type="cellIs" dxfId="15" priority="17" operator="greaterThan">
      <formula>1000</formula>
    </cfRule>
    <cfRule type="cellIs" dxfId="14" priority="19" operator="greaterThan">
      <formula>500</formula>
    </cfRule>
    <cfRule type="cellIs" dxfId="13" priority="20" operator="greaterThan">
      <formula>350</formula>
    </cfRule>
  </conditionalFormatting>
  <conditionalFormatting sqref="M66">
    <cfRule type="top10" dxfId="12" priority="15" rank="5"/>
  </conditionalFormatting>
  <conditionalFormatting sqref="G6:H6">
    <cfRule type="cellIs" dxfId="11" priority="11" operator="greaterThan">
      <formula>1000</formula>
    </cfRule>
    <cfRule type="cellIs" dxfId="10" priority="12" operator="greaterThan">
      <formula>500</formula>
    </cfRule>
    <cfRule type="cellIs" dxfId="9" priority="13" operator="greaterThan">
      <formula>200</formula>
    </cfRule>
    <cfRule type="cellIs" dxfId="8" priority="14" operator="greaterThan">
      <formula>150</formula>
    </cfRule>
  </conditionalFormatting>
  <conditionalFormatting sqref="J6">
    <cfRule type="cellIs" dxfId="7" priority="6" operator="greaterThan">
      <formula>5000</formula>
    </cfRule>
    <cfRule type="cellIs" dxfId="6" priority="7" operator="greaterThan">
      <formula>1000</formula>
    </cfRule>
    <cfRule type="cellIs" dxfId="5" priority="8" operator="greaterThan">
      <formula>500</formula>
    </cfRule>
    <cfRule type="cellIs" dxfId="4" priority="9" operator="greaterThan">
      <formula>350</formula>
    </cfRule>
  </conditionalFormatting>
  <conditionalFormatting sqref="D3:H3">
    <cfRule type="cellIs" dxfId="3" priority="2" operator="greaterThan">
      <formula>1000</formula>
    </cfRule>
    <cfRule type="cellIs" dxfId="2" priority="3" operator="greaterThan">
      <formula>500</formula>
    </cfRule>
    <cfRule type="cellIs" dxfId="1" priority="4" operator="greaterThan">
      <formula>200</formula>
    </cfRule>
    <cfRule type="cellIs" dxfId="0" priority="5" operator="greaterThan">
      <formula>150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X1</dc:creator>
  <cp:lastModifiedBy>Jeremy X1</cp:lastModifiedBy>
  <dcterms:created xsi:type="dcterms:W3CDTF">2021-07-04T20:45:40Z</dcterms:created>
  <dcterms:modified xsi:type="dcterms:W3CDTF">2021-09-22T03:51:33Z</dcterms:modified>
</cp:coreProperties>
</file>