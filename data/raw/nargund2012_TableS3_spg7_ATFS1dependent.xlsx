
<file path=[Content_Types].xml><?xml version="1.0" encoding="utf-8"?>
<Types xmlns="http://schemas.openxmlformats.org/package/2006/content-types"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Default Extension="xml" ContentType="application/xml"/>
  <Default Extension="jpeg" ContentType="image/jpeg"/>
  <Override PartName="/xl/theme/theme1.xml" ContentType="application/vnd.openxmlformats-officedocument.theme+xml"/>
  <Override PartName="/xl/calcChain.xml" ContentType="application/vnd.openxmlformats-officedocument.spreadsheetml.calcChain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280" yWindow="100" windowWidth="28900" windowHeight="19700" tabRatio="500"/>
  </bookViews>
  <sheets>
    <sheet name="Sheet1" sheetId="1" r:id="rId1"/>
  </sheets>
  <calcPr calcId="130407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G8" i="1"/>
  <c r="G9"/>
  <c r="G10"/>
  <c r="G11"/>
  <c r="G12"/>
  <c r="G13"/>
  <c r="G14"/>
  <c r="G15"/>
  <c r="G16"/>
  <c r="G17"/>
  <c r="G18"/>
  <c r="G19"/>
  <c r="G20"/>
  <c r="G21"/>
  <c r="G22"/>
  <c r="G23"/>
  <c r="G24"/>
  <c r="G25"/>
  <c r="G28"/>
  <c r="G29"/>
  <c r="G30"/>
  <c r="G31"/>
  <c r="G32"/>
  <c r="G33"/>
  <c r="G34"/>
  <c r="G35"/>
  <c r="G36"/>
  <c r="G37"/>
  <c r="G38"/>
  <c r="G39"/>
  <c r="G40"/>
  <c r="G41"/>
  <c r="G42"/>
  <c r="G43"/>
  <c r="G44"/>
  <c r="G45"/>
  <c r="G46"/>
  <c r="G47"/>
  <c r="G48"/>
  <c r="G52"/>
  <c r="G53"/>
  <c r="G54"/>
  <c r="G55"/>
  <c r="G56"/>
  <c r="G57"/>
  <c r="G58"/>
  <c r="G59"/>
  <c r="G60"/>
  <c r="G61"/>
  <c r="G62"/>
  <c r="G63"/>
  <c r="G64"/>
  <c r="G65"/>
  <c r="G68"/>
  <c r="G69"/>
  <c r="G70"/>
  <c r="G71"/>
  <c r="G72"/>
  <c r="G73"/>
  <c r="G74"/>
  <c r="G75"/>
  <c r="G76"/>
  <c r="G77"/>
  <c r="G78"/>
  <c r="G79"/>
  <c r="G80"/>
  <c r="G81"/>
  <c r="G82"/>
  <c r="G83"/>
  <c r="G84"/>
  <c r="G85"/>
  <c r="G86"/>
  <c r="G87"/>
  <c r="G88"/>
  <c r="G89"/>
  <c r="G90"/>
  <c r="G91"/>
  <c r="G92"/>
  <c r="G93"/>
  <c r="G94"/>
  <c r="G95"/>
  <c r="G96"/>
  <c r="G97"/>
  <c r="G98"/>
  <c r="G99"/>
  <c r="G100"/>
  <c r="G101"/>
  <c r="G102"/>
  <c r="G105"/>
  <c r="G106"/>
  <c r="G107"/>
  <c r="G108"/>
  <c r="G109"/>
  <c r="G110"/>
  <c r="G111"/>
  <c r="G112"/>
  <c r="G113"/>
  <c r="G114"/>
  <c r="G115"/>
  <c r="G116"/>
  <c r="G117"/>
  <c r="G118"/>
  <c r="G119"/>
  <c r="G120"/>
  <c r="G121"/>
  <c r="G122"/>
  <c r="G123"/>
  <c r="G124"/>
  <c r="G125"/>
  <c r="G126"/>
  <c r="G127"/>
  <c r="G128"/>
  <c r="G129"/>
  <c r="G130"/>
  <c r="G131"/>
  <c r="G132"/>
  <c r="G133"/>
  <c r="G136"/>
  <c r="G137"/>
  <c r="G138"/>
  <c r="G139"/>
  <c r="G140"/>
  <c r="G141"/>
  <c r="G144"/>
  <c r="G145"/>
  <c r="G146"/>
  <c r="G147"/>
  <c r="G148"/>
  <c r="G149"/>
  <c r="G150"/>
  <c r="G151"/>
  <c r="G152"/>
  <c r="G153"/>
  <c r="G154"/>
  <c r="G155"/>
  <c r="G156"/>
  <c r="G157"/>
  <c r="G158"/>
  <c r="G159"/>
  <c r="G160"/>
  <c r="G163"/>
  <c r="G164"/>
  <c r="G165"/>
  <c r="G166"/>
  <c r="G167"/>
  <c r="G168"/>
  <c r="G169"/>
  <c r="G170"/>
  <c r="G171"/>
  <c r="G172"/>
  <c r="G173"/>
  <c r="G174"/>
  <c r="G175"/>
  <c r="G176"/>
  <c r="G179"/>
  <c r="G180"/>
  <c r="G181"/>
  <c r="G182"/>
  <c r="G186"/>
  <c r="G187"/>
  <c r="G188"/>
  <c r="G189"/>
  <c r="G190"/>
  <c r="G191"/>
  <c r="G192"/>
  <c r="G193"/>
  <c r="G196"/>
  <c r="G197"/>
  <c r="G198"/>
  <c r="G199"/>
  <c r="G200"/>
  <c r="G201"/>
  <c r="G202"/>
  <c r="G203"/>
  <c r="G207"/>
  <c r="G208"/>
  <c r="G212"/>
  <c r="G213"/>
  <c r="G214"/>
  <c r="G217"/>
  <c r="G218"/>
  <c r="G219"/>
  <c r="G220"/>
  <c r="G221"/>
  <c r="G222"/>
  <c r="G223"/>
  <c r="G224"/>
  <c r="G225"/>
  <c r="G226"/>
  <c r="G227"/>
  <c r="G228"/>
  <c r="G229"/>
  <c r="G230"/>
  <c r="G231"/>
  <c r="G232"/>
  <c r="G233"/>
  <c r="G234"/>
  <c r="G235"/>
  <c r="G238"/>
  <c r="G239"/>
  <c r="G242"/>
  <c r="G243"/>
  <c r="G244"/>
  <c r="G245"/>
  <c r="G246"/>
  <c r="G247"/>
  <c r="G248"/>
  <c r="G249"/>
  <c r="G250"/>
  <c r="G251"/>
  <c r="G252"/>
  <c r="G253"/>
  <c r="G254"/>
  <c r="G255"/>
  <c r="G256"/>
  <c r="G257"/>
  <c r="G258"/>
  <c r="G259"/>
  <c r="G260"/>
  <c r="G261"/>
  <c r="G262"/>
  <c r="G263"/>
  <c r="G264"/>
  <c r="G265"/>
  <c r="G266"/>
  <c r="G267"/>
  <c r="G268"/>
  <c r="G269"/>
  <c r="G270"/>
  <c r="G271"/>
  <c r="G276"/>
  <c r="G277"/>
  <c r="G278"/>
  <c r="G281"/>
  <c r="G282"/>
  <c r="G283"/>
  <c r="G285"/>
  <c r="G286"/>
  <c r="G287"/>
  <c r="G288"/>
  <c r="G289"/>
  <c r="G292"/>
  <c r="G293"/>
  <c r="G294"/>
  <c r="G295"/>
  <c r="G296"/>
  <c r="G297"/>
  <c r="G298"/>
  <c r="G299"/>
  <c r="G300"/>
  <c r="G301"/>
  <c r="G302"/>
  <c r="G303"/>
  <c r="G304"/>
  <c r="G305"/>
  <c r="G306"/>
  <c r="G307"/>
  <c r="G308"/>
  <c r="G309"/>
  <c r="G310"/>
  <c r="G311"/>
  <c r="G312"/>
  <c r="G313"/>
  <c r="G314"/>
  <c r="G315"/>
  <c r="G316"/>
  <c r="G317"/>
  <c r="G318"/>
  <c r="G319"/>
  <c r="G320"/>
  <c r="G321"/>
  <c r="G322"/>
  <c r="G323"/>
  <c r="G324"/>
  <c r="G325"/>
  <c r="G326"/>
  <c r="G327"/>
  <c r="G328"/>
  <c r="G329"/>
  <c r="G330"/>
  <c r="G331"/>
  <c r="G332"/>
  <c r="G333"/>
  <c r="G334"/>
  <c r="G335"/>
  <c r="G336"/>
  <c r="G337"/>
  <c r="G338"/>
  <c r="G339"/>
  <c r="G340"/>
  <c r="G341"/>
  <c r="G342"/>
  <c r="G343"/>
  <c r="G344"/>
  <c r="G345"/>
  <c r="G346"/>
  <c r="G347"/>
  <c r="G348"/>
  <c r="G349"/>
  <c r="G350"/>
  <c r="G351"/>
  <c r="G352"/>
  <c r="G353"/>
  <c r="G354"/>
  <c r="G355"/>
  <c r="G356"/>
  <c r="G357"/>
  <c r="G358"/>
  <c r="G359"/>
  <c r="G360"/>
  <c r="G361"/>
  <c r="G362"/>
  <c r="G363"/>
  <c r="G364"/>
  <c r="G365"/>
  <c r="G366"/>
  <c r="G367"/>
  <c r="G368"/>
  <c r="G369"/>
  <c r="G370"/>
  <c r="G371"/>
  <c r="G372"/>
  <c r="G373"/>
  <c r="G374"/>
  <c r="G375"/>
  <c r="G376"/>
  <c r="G377"/>
  <c r="G378"/>
  <c r="G379"/>
  <c r="G380"/>
  <c r="G381"/>
  <c r="G382"/>
  <c r="G383"/>
  <c r="G384"/>
  <c r="G385"/>
  <c r="G386"/>
  <c r="G387"/>
  <c r="G388"/>
  <c r="G389"/>
  <c r="G390"/>
  <c r="G391"/>
  <c r="G392"/>
  <c r="G393"/>
  <c r="G394"/>
  <c r="G395"/>
  <c r="G396"/>
  <c r="G397"/>
  <c r="G398"/>
  <c r="G399"/>
  <c r="G400"/>
  <c r="G401"/>
  <c r="G402"/>
  <c r="G403"/>
  <c r="G404"/>
  <c r="G405"/>
  <c r="G406"/>
  <c r="G407"/>
  <c r="G408"/>
  <c r="G409"/>
  <c r="G410"/>
  <c r="G411"/>
  <c r="G412"/>
  <c r="G413"/>
  <c r="G414"/>
  <c r="G415"/>
  <c r="G416"/>
  <c r="G417"/>
  <c r="G418"/>
  <c r="G419"/>
  <c r="G420"/>
  <c r="G421"/>
  <c r="G422"/>
  <c r="G423"/>
  <c r="G424"/>
  <c r="G425"/>
  <c r="G426"/>
  <c r="G427"/>
  <c r="G428"/>
  <c r="G429"/>
  <c r="G430"/>
  <c r="F271"/>
  <c r="H271"/>
  <c r="F292"/>
  <c r="H292"/>
  <c r="F132"/>
  <c r="H132"/>
  <c r="F102"/>
  <c r="H102"/>
  <c r="F270"/>
  <c r="H270"/>
  <c r="F267"/>
  <c r="H267"/>
  <c r="F268"/>
  <c r="H268"/>
  <c r="F269"/>
  <c r="H269"/>
  <c r="F101"/>
  <c r="H101"/>
  <c r="F293"/>
  <c r="H293"/>
  <c r="F294"/>
  <c r="H294"/>
  <c r="F295"/>
  <c r="H295"/>
  <c r="F296"/>
  <c r="H296"/>
  <c r="F297"/>
  <c r="H297"/>
  <c r="F298"/>
  <c r="H298"/>
  <c r="F299"/>
  <c r="H299"/>
  <c r="F300"/>
  <c r="H300"/>
  <c r="F301"/>
  <c r="H301"/>
  <c r="F302"/>
  <c r="H302"/>
  <c r="F303"/>
  <c r="H303"/>
  <c r="F133"/>
  <c r="H133"/>
  <c r="F99"/>
  <c r="H99"/>
  <c r="F100"/>
  <c r="H100"/>
  <c r="F131"/>
  <c r="H131"/>
  <c r="H96"/>
  <c r="F96"/>
  <c r="H95"/>
  <c r="F95"/>
  <c r="H94"/>
  <c r="F94"/>
  <c r="F265"/>
  <c r="H265"/>
  <c r="F266"/>
  <c r="H266"/>
  <c r="F264"/>
  <c r="H264"/>
  <c r="F263"/>
  <c r="H263"/>
  <c r="F257"/>
  <c r="H257"/>
  <c r="F258"/>
  <c r="H258"/>
  <c r="F259"/>
  <c r="H259"/>
  <c r="F260"/>
  <c r="H260"/>
  <c r="F261"/>
  <c r="H261"/>
  <c r="F262"/>
  <c r="H262"/>
  <c r="F97"/>
  <c r="H97"/>
  <c r="F256"/>
  <c r="H256"/>
  <c r="F255"/>
  <c r="H255"/>
  <c r="F254"/>
  <c r="H254"/>
  <c r="F252"/>
  <c r="H252"/>
  <c r="F253"/>
  <c r="H253"/>
  <c r="F251"/>
  <c r="H251"/>
  <c r="F250"/>
  <c r="H250"/>
  <c r="F249"/>
  <c r="H249"/>
  <c r="F248"/>
  <c r="H248"/>
  <c r="F247"/>
  <c r="H247"/>
  <c r="F246"/>
  <c r="H246"/>
  <c r="F213"/>
  <c r="H213"/>
  <c r="F214"/>
  <c r="H214"/>
  <c r="F278"/>
  <c r="H278"/>
  <c r="F245"/>
  <c r="H245"/>
  <c r="F244"/>
  <c r="H244"/>
  <c r="F243"/>
  <c r="H243"/>
  <c r="F277"/>
  <c r="H277"/>
  <c r="F276"/>
  <c r="H276"/>
  <c r="F235"/>
  <c r="H235"/>
  <c r="F234"/>
  <c r="H234"/>
  <c r="F212"/>
  <c r="H212"/>
  <c r="H193"/>
  <c r="F193"/>
  <c r="H192"/>
  <c r="F192"/>
  <c r="H191"/>
  <c r="F191"/>
  <c r="H190"/>
  <c r="F190"/>
  <c r="H189"/>
  <c r="F189"/>
  <c r="H188"/>
  <c r="F188"/>
  <c r="H187"/>
  <c r="F187"/>
  <c r="H203"/>
  <c r="F203"/>
  <c r="F186"/>
  <c r="H186"/>
  <c r="F233"/>
  <c r="H233"/>
  <c r="F175"/>
  <c r="H175"/>
  <c r="F176"/>
  <c r="H176"/>
  <c r="F231"/>
  <c r="H231"/>
  <c r="F232"/>
  <c r="H232"/>
  <c r="F230"/>
  <c r="H230"/>
  <c r="F229"/>
  <c r="H229"/>
  <c r="H182"/>
  <c r="F182"/>
  <c r="H196"/>
  <c r="F196"/>
  <c r="H174"/>
  <c r="F174"/>
  <c r="H173"/>
  <c r="F173"/>
  <c r="H172"/>
  <c r="F172"/>
  <c r="H171"/>
  <c r="F171"/>
  <c r="F228"/>
  <c r="H228"/>
  <c r="F140"/>
  <c r="H140"/>
  <c r="H93"/>
  <c r="F93"/>
  <c r="F227"/>
  <c r="H227"/>
  <c r="F289"/>
  <c r="H289"/>
  <c r="F226"/>
  <c r="H226"/>
  <c r="F170"/>
  <c r="H170"/>
  <c r="H92"/>
  <c r="F92"/>
  <c r="F288"/>
  <c r="H288"/>
  <c r="F287"/>
  <c r="H287"/>
  <c r="F202"/>
  <c r="H202"/>
  <c r="F169"/>
  <c r="H169"/>
  <c r="F286"/>
  <c r="H286"/>
  <c r="F285"/>
  <c r="H285"/>
  <c r="H181"/>
  <c r="F181"/>
  <c r="H180"/>
  <c r="F180"/>
  <c r="F239"/>
  <c r="H239"/>
  <c r="F238"/>
  <c r="H238"/>
  <c r="F179"/>
  <c r="H179"/>
  <c r="F168"/>
  <c r="H168"/>
  <c r="F201"/>
  <c r="H201"/>
  <c r="F167"/>
  <c r="H167"/>
  <c r="F225"/>
  <c r="H225"/>
  <c r="F91"/>
  <c r="H91"/>
  <c r="F156"/>
  <c r="H156"/>
  <c r="F157"/>
  <c r="H157"/>
  <c r="F158"/>
  <c r="H158"/>
  <c r="F155"/>
  <c r="H155"/>
  <c r="F242"/>
  <c r="H242"/>
  <c r="F224"/>
  <c r="H224"/>
  <c r="F223"/>
  <c r="H223"/>
  <c r="F90"/>
  <c r="H90"/>
  <c r="F208"/>
  <c r="H208"/>
  <c r="H12"/>
  <c r="F12"/>
  <c r="H166"/>
  <c r="F166"/>
  <c r="H222"/>
  <c r="F222"/>
  <c r="H207"/>
  <c r="F207"/>
  <c r="H165"/>
  <c r="F165"/>
  <c r="H221"/>
  <c r="F221"/>
  <c r="H220"/>
  <c r="F220"/>
  <c r="H219"/>
  <c r="F219"/>
  <c r="H218"/>
  <c r="F218"/>
  <c r="H217"/>
  <c r="F217"/>
  <c r="H164"/>
  <c r="F164"/>
  <c r="F163"/>
  <c r="H163"/>
  <c r="F198"/>
  <c r="H198"/>
  <c r="H197"/>
  <c r="F197"/>
  <c r="H145"/>
  <c r="F145"/>
  <c r="H430"/>
  <c r="F430"/>
  <c r="H429"/>
  <c r="F429"/>
  <c r="H428"/>
  <c r="F428"/>
  <c r="H427"/>
  <c r="F427"/>
  <c r="H426"/>
  <c r="F426"/>
  <c r="H425"/>
  <c r="F425"/>
  <c r="H424"/>
  <c r="F424"/>
  <c r="H423"/>
  <c r="F423"/>
  <c r="H422"/>
  <c r="F422"/>
  <c r="H421"/>
  <c r="F421"/>
  <c r="H420"/>
  <c r="F420"/>
  <c r="H419"/>
  <c r="F419"/>
  <c r="H418"/>
  <c r="F418"/>
  <c r="H417"/>
  <c r="F417"/>
  <c r="H416"/>
  <c r="F416"/>
  <c r="H415"/>
  <c r="F415"/>
  <c r="H414"/>
  <c r="F414"/>
  <c r="H413"/>
  <c r="F413"/>
  <c r="H412"/>
  <c r="F412"/>
  <c r="H411"/>
  <c r="F411"/>
  <c r="H410"/>
  <c r="F410"/>
  <c r="H409"/>
  <c r="F409"/>
  <c r="H408"/>
  <c r="F408"/>
  <c r="H407"/>
  <c r="F407"/>
  <c r="H387"/>
  <c r="F387"/>
  <c r="H386"/>
  <c r="F386"/>
  <c r="H384"/>
  <c r="F384"/>
  <c r="H375"/>
  <c r="F375"/>
  <c r="H374"/>
  <c r="F374"/>
  <c r="H406"/>
  <c r="F406"/>
  <c r="H405"/>
  <c r="F405"/>
  <c r="H404"/>
  <c r="F404"/>
  <c r="H403"/>
  <c r="F403"/>
  <c r="H402"/>
  <c r="F402"/>
  <c r="H401"/>
  <c r="F401"/>
  <c r="H400"/>
  <c r="F400"/>
  <c r="H399"/>
  <c r="F399"/>
  <c r="H398"/>
  <c r="F398"/>
  <c r="H397"/>
  <c r="F397"/>
  <c r="H396"/>
  <c r="F396"/>
  <c r="H395"/>
  <c r="F395"/>
  <c r="H394"/>
  <c r="F394"/>
  <c r="H393"/>
  <c r="F393"/>
  <c r="H392"/>
  <c r="F392"/>
  <c r="H391"/>
  <c r="F391"/>
  <c r="H390"/>
  <c r="F390"/>
  <c r="H389"/>
  <c r="F389"/>
  <c r="H388"/>
  <c r="F388"/>
  <c r="H385"/>
  <c r="F385"/>
  <c r="H383"/>
  <c r="F383"/>
  <c r="H382"/>
  <c r="F382"/>
  <c r="H381"/>
  <c r="F381"/>
  <c r="H380"/>
  <c r="F380"/>
  <c r="H379"/>
  <c r="F379"/>
  <c r="H378"/>
  <c r="F378"/>
  <c r="H377"/>
  <c r="F377"/>
  <c r="H376"/>
  <c r="F376"/>
  <c r="H373"/>
  <c r="F373"/>
  <c r="H372"/>
  <c r="F372"/>
  <c r="H371"/>
  <c r="F371"/>
  <c r="H370"/>
  <c r="F370"/>
  <c r="H369"/>
  <c r="F369"/>
  <c r="H368"/>
  <c r="F368"/>
  <c r="H367"/>
  <c r="F367"/>
  <c r="H366"/>
  <c r="F366"/>
  <c r="H365"/>
  <c r="F365"/>
  <c r="H364"/>
  <c r="F364"/>
  <c r="H363"/>
  <c r="F363"/>
  <c r="H362"/>
  <c r="F362"/>
  <c r="H361"/>
  <c r="F361"/>
  <c r="H360"/>
  <c r="F360"/>
  <c r="H359"/>
  <c r="F359"/>
  <c r="H358"/>
  <c r="F358"/>
  <c r="H357"/>
  <c r="F357"/>
  <c r="H356"/>
  <c r="F356"/>
  <c r="H355"/>
  <c r="F355"/>
  <c r="H354"/>
  <c r="F354"/>
  <c r="H353"/>
  <c r="F353"/>
  <c r="H352"/>
  <c r="F352"/>
  <c r="H351"/>
  <c r="F351"/>
  <c r="H350"/>
  <c r="F350"/>
  <c r="H349"/>
  <c r="F349"/>
  <c r="H348"/>
  <c r="F348"/>
  <c r="H347"/>
  <c r="F347"/>
  <c r="H346"/>
  <c r="F346"/>
  <c r="H345"/>
  <c r="F345"/>
  <c r="H344"/>
  <c r="F344"/>
  <c r="H343"/>
  <c r="F343"/>
  <c r="H342"/>
  <c r="F342"/>
  <c r="H341"/>
  <c r="F341"/>
  <c r="H340"/>
  <c r="F340"/>
  <c r="H339"/>
  <c r="F339"/>
  <c r="H338"/>
  <c r="F338"/>
  <c r="H337"/>
  <c r="F337"/>
  <c r="H336"/>
  <c r="F336"/>
  <c r="H335"/>
  <c r="F335"/>
  <c r="H334"/>
  <c r="F334"/>
  <c r="H333"/>
  <c r="F333"/>
  <c r="H332"/>
  <c r="F332"/>
  <c r="H331"/>
  <c r="F331"/>
  <c r="H330"/>
  <c r="F330"/>
  <c r="H329"/>
  <c r="F329"/>
  <c r="H328"/>
  <c r="F328"/>
  <c r="H327"/>
  <c r="F327"/>
  <c r="H326"/>
  <c r="F326"/>
  <c r="H325"/>
  <c r="F325"/>
  <c r="H324"/>
  <c r="F324"/>
  <c r="H323"/>
  <c r="F323"/>
  <c r="H322"/>
  <c r="F322"/>
  <c r="H321"/>
  <c r="F321"/>
  <c r="H320"/>
  <c r="F320"/>
  <c r="H319"/>
  <c r="F319"/>
  <c r="H318"/>
  <c r="F318"/>
  <c r="H317"/>
  <c r="F317"/>
  <c r="H316"/>
  <c r="F316"/>
  <c r="H315"/>
  <c r="F315"/>
  <c r="H314"/>
  <c r="F314"/>
  <c r="H313"/>
  <c r="F313"/>
  <c r="H312"/>
  <c r="F312"/>
  <c r="H311"/>
  <c r="F311"/>
  <c r="H310"/>
  <c r="F310"/>
  <c r="H309"/>
  <c r="F309"/>
  <c r="H308"/>
  <c r="F308"/>
  <c r="H307"/>
  <c r="F307"/>
  <c r="H306"/>
  <c r="F306"/>
  <c r="H305"/>
  <c r="F305"/>
  <c r="H304"/>
  <c r="F304"/>
  <c r="F148"/>
  <c r="H148"/>
  <c r="F149"/>
  <c r="H149"/>
  <c r="F150"/>
  <c r="H150"/>
  <c r="F151"/>
  <c r="H151"/>
  <c r="F152"/>
  <c r="H152"/>
  <c r="F153"/>
  <c r="H153"/>
  <c r="F154"/>
  <c r="H154"/>
  <c r="H147"/>
  <c r="F147"/>
  <c r="H146"/>
  <c r="F146"/>
  <c r="H144"/>
  <c r="F144"/>
  <c r="F141"/>
  <c r="H141"/>
  <c r="F98"/>
  <c r="H98"/>
  <c r="H281"/>
  <c r="F281"/>
  <c r="H160"/>
  <c r="F160"/>
  <c r="H48"/>
  <c r="F48"/>
  <c r="H139"/>
  <c r="F139"/>
  <c r="F159"/>
  <c r="H159"/>
  <c r="F138"/>
  <c r="H138"/>
  <c r="F137"/>
  <c r="H137"/>
  <c r="H47"/>
  <c r="F47"/>
  <c r="H46"/>
  <c r="F46"/>
  <c r="F89"/>
  <c r="H89"/>
  <c r="F136"/>
  <c r="H136"/>
  <c r="H88"/>
  <c r="F88"/>
  <c r="H87"/>
  <c r="F87"/>
  <c r="H86"/>
  <c r="F86"/>
  <c r="H130"/>
  <c r="F130"/>
  <c r="F85"/>
  <c r="H85"/>
  <c r="H129"/>
  <c r="F129"/>
  <c r="H128"/>
  <c r="F128"/>
  <c r="H127"/>
  <c r="F127"/>
  <c r="H126"/>
  <c r="F126"/>
  <c r="H108"/>
  <c r="F108"/>
  <c r="H107"/>
  <c r="F107"/>
  <c r="H109"/>
  <c r="F109"/>
  <c r="H106"/>
  <c r="F106"/>
  <c r="H110"/>
  <c r="F110"/>
  <c r="H83"/>
  <c r="F83"/>
  <c r="H82"/>
  <c r="F82"/>
  <c r="H81"/>
  <c r="F81"/>
  <c r="H105"/>
  <c r="F105"/>
  <c r="H125"/>
  <c r="F125"/>
  <c r="H124"/>
  <c r="F124"/>
  <c r="F122"/>
  <c r="H122"/>
  <c r="F123"/>
  <c r="H123"/>
  <c r="F199"/>
  <c r="H199"/>
  <c r="F200"/>
  <c r="H200"/>
  <c r="F120"/>
  <c r="H120"/>
  <c r="F121"/>
  <c r="H121"/>
  <c r="F119"/>
  <c r="H119"/>
  <c r="H118"/>
  <c r="F118"/>
  <c r="H117"/>
  <c r="F117"/>
  <c r="H116"/>
  <c r="F116"/>
  <c r="H115"/>
  <c r="F115"/>
  <c r="H114"/>
  <c r="F114"/>
  <c r="H113"/>
  <c r="F113"/>
  <c r="F111"/>
  <c r="H111"/>
  <c r="F112"/>
  <c r="H112"/>
  <c r="H8"/>
  <c r="F8"/>
  <c r="H84"/>
  <c r="F84"/>
  <c r="H80"/>
  <c r="F80"/>
  <c r="H79"/>
  <c r="F79"/>
  <c r="H78"/>
  <c r="F78"/>
  <c r="H77"/>
  <c r="F77"/>
  <c r="H76"/>
  <c r="F76"/>
  <c r="H75"/>
  <c r="F75"/>
  <c r="H74"/>
  <c r="F74"/>
  <c r="H73"/>
  <c r="F73"/>
  <c r="H72"/>
  <c r="F72"/>
  <c r="H71"/>
  <c r="F71"/>
  <c r="H70"/>
  <c r="F70"/>
  <c r="H69"/>
  <c r="F69"/>
  <c r="H68"/>
  <c r="F68"/>
  <c r="H64"/>
  <c r="F64"/>
  <c r="H63"/>
  <c r="F63"/>
  <c r="H62"/>
  <c r="F62"/>
  <c r="H61"/>
  <c r="F61"/>
  <c r="H60"/>
  <c r="F60"/>
  <c r="H59"/>
  <c r="F59"/>
  <c r="H58"/>
  <c r="F58"/>
  <c r="H65"/>
  <c r="F65"/>
  <c r="H57"/>
  <c r="F57"/>
  <c r="H56"/>
  <c r="F56"/>
  <c r="H55"/>
  <c r="F55"/>
  <c r="H54"/>
  <c r="F54"/>
  <c r="H53"/>
  <c r="F53"/>
  <c r="F52"/>
  <c r="H52"/>
  <c r="H45"/>
  <c r="F45"/>
  <c r="H44"/>
  <c r="F44"/>
  <c r="H283"/>
  <c r="F283"/>
  <c r="H282"/>
  <c r="F282"/>
  <c r="H43"/>
  <c r="F43"/>
  <c r="H41"/>
  <c r="F41"/>
  <c r="H40"/>
  <c r="F40"/>
  <c r="H39"/>
  <c r="F39"/>
  <c r="H38"/>
  <c r="F38"/>
  <c r="H42"/>
  <c r="F42"/>
  <c r="H37"/>
  <c r="F37"/>
  <c r="H36"/>
  <c r="F36"/>
  <c r="H35"/>
  <c r="F35"/>
  <c r="H34"/>
  <c r="F34"/>
  <c r="H33"/>
  <c r="F33"/>
  <c r="H32"/>
  <c r="F32"/>
  <c r="H31"/>
  <c r="F31"/>
  <c r="H30"/>
  <c r="F30"/>
  <c r="H29"/>
  <c r="F29"/>
  <c r="H19"/>
  <c r="F19"/>
  <c r="H18"/>
  <c r="F18"/>
  <c r="H17"/>
  <c r="F17"/>
  <c r="H16"/>
  <c r="F16"/>
  <c r="H28"/>
  <c r="F28"/>
  <c r="H25"/>
  <c r="F25"/>
  <c r="H24"/>
  <c r="F24"/>
  <c r="H23"/>
  <c r="F23"/>
  <c r="H22"/>
  <c r="F22"/>
  <c r="H21"/>
  <c r="F21"/>
  <c r="H20"/>
  <c r="F20"/>
  <c r="H14"/>
  <c r="F14"/>
  <c r="H15"/>
  <c r="F15"/>
  <c r="H13"/>
  <c r="F13"/>
  <c r="H11"/>
  <c r="F11"/>
  <c r="F9"/>
  <c r="H9"/>
  <c r="F10"/>
  <c r="H10"/>
</calcChain>
</file>

<file path=xl/sharedStrings.xml><?xml version="1.0" encoding="utf-8"?>
<sst xmlns="http://schemas.openxmlformats.org/spreadsheetml/2006/main" count="847" uniqueCount="744">
  <si>
    <t>% less</t>
    <phoneticPr fontId="1" type="noConversion"/>
  </si>
  <si>
    <t>Metabolism: Ubiquinone biosynthesis</t>
    <phoneticPr fontId="1" type="noConversion"/>
  </si>
  <si>
    <t>Metabolism: carbohydrates</t>
    <phoneticPr fontId="1" type="noConversion"/>
  </si>
  <si>
    <t>K10B3.9</t>
    <phoneticPr fontId="1" type="noConversion"/>
  </si>
  <si>
    <t>gpd-2</t>
    <phoneticPr fontId="1" type="noConversion"/>
  </si>
  <si>
    <t>swt-6</t>
    <phoneticPr fontId="1" type="noConversion"/>
  </si>
  <si>
    <t>Sweet sugar transporter family</t>
    <phoneticPr fontId="1" type="noConversion"/>
  </si>
  <si>
    <t>swt-2</t>
    <phoneticPr fontId="1" type="noConversion"/>
  </si>
  <si>
    <t>Predicted glycosyltransferase</t>
    <phoneticPr fontId="1" type="noConversion"/>
  </si>
  <si>
    <t>Metabolism: Sugar</t>
    <phoneticPr fontId="1" type="noConversion"/>
  </si>
  <si>
    <t>Sweet sugar transporter family</t>
    <phoneticPr fontId="1" type="noConversion"/>
  </si>
  <si>
    <t>Metabolism: aminoacids</t>
    <phoneticPr fontId="1" type="noConversion"/>
  </si>
  <si>
    <t>4-hydroxyphenylpyruvate dioxygenase</t>
    <phoneticPr fontId="1" type="noConversion"/>
  </si>
  <si>
    <t>Threonine/serine dehydratases</t>
    <phoneticPr fontId="1" type="noConversion"/>
  </si>
  <si>
    <t>RNA processing</t>
    <phoneticPr fontId="1" type="noConversion"/>
  </si>
  <si>
    <t>tRNA (5-methylaminomethyl-2-thiouridylate)-methyltransferase</t>
    <phoneticPr fontId="1" type="noConversion"/>
  </si>
  <si>
    <t>Supplementary Table 3. Genes up-regulated during spg-7(RNAi) treatment dependent on atfs-1.</t>
    <phoneticPr fontId="1" type="noConversion"/>
  </si>
  <si>
    <t>dhs-31</t>
    <phoneticPr fontId="1" type="noConversion"/>
  </si>
  <si>
    <t>NADP/FAD dependent oxidoreductase</t>
    <phoneticPr fontId="1" type="noConversion"/>
  </si>
  <si>
    <t>UDP-glucoronosyl transferase</t>
    <phoneticPr fontId="1" type="noConversion"/>
  </si>
  <si>
    <t>Defense immunity/cub like domain</t>
    <phoneticPr fontId="1" type="noConversion"/>
  </si>
  <si>
    <t>Caenorhabditis bacteriocin</t>
    <phoneticPr fontId="1" type="noConversion"/>
  </si>
  <si>
    <t>F35C5.5</t>
    <phoneticPr fontId="1" type="noConversion"/>
  </si>
  <si>
    <t>F35C5.8</t>
    <phoneticPr fontId="1" type="noConversion"/>
  </si>
  <si>
    <t>c type Lectin</t>
    <phoneticPr fontId="1" type="noConversion"/>
  </si>
  <si>
    <t>Signaling/Peptide</t>
    <phoneticPr fontId="1" type="noConversion"/>
  </si>
  <si>
    <t>Nuclear Hormone Receptor family</t>
    <phoneticPr fontId="1" type="noConversion"/>
  </si>
  <si>
    <t>T01G6.6</t>
    <phoneticPr fontId="1" type="noConversion"/>
  </si>
  <si>
    <t>Y17D7A.3</t>
    <phoneticPr fontId="1" type="noConversion"/>
  </si>
  <si>
    <t>Neuropeptide-Like Protein</t>
    <phoneticPr fontId="1" type="noConversion"/>
  </si>
  <si>
    <t>Protein tyrosine phosphatase</t>
    <phoneticPr fontId="1" type="noConversion"/>
  </si>
  <si>
    <t>GTPase Rab6/YPT6/Ryh1</t>
    <phoneticPr fontId="1" type="noConversion"/>
  </si>
  <si>
    <t>Predicted unusual protein kinase</t>
    <phoneticPr fontId="1" type="noConversion"/>
  </si>
  <si>
    <t>F56C9.1</t>
    <phoneticPr fontId="1" type="noConversion"/>
  </si>
  <si>
    <t>srm-3</t>
    <phoneticPr fontId="1" type="noConversion"/>
  </si>
  <si>
    <t>Nuclear localized metal responsive</t>
    <phoneticPr fontId="1" type="noConversion"/>
  </si>
  <si>
    <t>contains ZZ-type Zn-finger</t>
    <phoneticPr fontId="1" type="noConversion"/>
  </si>
  <si>
    <t>Serpin</t>
    <phoneticPr fontId="1" type="noConversion"/>
  </si>
  <si>
    <t>Transcription regulators</t>
    <phoneticPr fontId="1" type="noConversion"/>
  </si>
  <si>
    <t>C34D1.5</t>
    <phoneticPr fontId="1" type="noConversion"/>
  </si>
  <si>
    <t>T19E7.2</t>
    <phoneticPr fontId="1" type="noConversion"/>
  </si>
  <si>
    <t>Unknowns</t>
    <phoneticPr fontId="1" type="noConversion"/>
  </si>
  <si>
    <t>F55C12.7</t>
    <phoneticPr fontId="1" type="noConversion"/>
  </si>
  <si>
    <t>Uncharacterized conserved protein</t>
    <phoneticPr fontId="1" type="noConversion"/>
  </si>
  <si>
    <t>Detoxification/stress response</t>
    <phoneticPr fontId="1" type="noConversion"/>
  </si>
  <si>
    <t>Mitochondrial fission factor</t>
    <phoneticPr fontId="1" type="noConversion"/>
  </si>
  <si>
    <t>Sweet sugar transporter family</t>
    <phoneticPr fontId="1" type="noConversion"/>
  </si>
  <si>
    <t>Sweet sugar transporter family</t>
    <phoneticPr fontId="1" type="noConversion"/>
  </si>
  <si>
    <t xml:space="preserve">ZK678.1 </t>
    <phoneticPr fontId="1" type="noConversion"/>
  </si>
  <si>
    <t>Sequence Name</t>
    <phoneticPr fontId="1" type="noConversion"/>
  </si>
  <si>
    <t>KOG title, protein domain or function</t>
    <phoneticPr fontId="1" type="noConversion"/>
  </si>
  <si>
    <t xml:space="preserve">C09D4.4 </t>
  </si>
  <si>
    <t>protein containing an F-box</t>
    <phoneticPr fontId="1" type="noConversion"/>
  </si>
  <si>
    <t>Autophagy (Yeast Atg homolog)</t>
    <phoneticPr fontId="1" type="noConversion"/>
  </si>
  <si>
    <t>Metabolism</t>
    <phoneticPr fontId="1" type="noConversion"/>
  </si>
  <si>
    <t xml:space="preserve">Fatty acid amide hydrolyase </t>
    <phoneticPr fontId="1" type="noConversion"/>
  </si>
  <si>
    <t>Predicted esterase</t>
    <phoneticPr fontId="1" type="noConversion"/>
  </si>
  <si>
    <t>Hydroxyacyl-CoA dehydrogenase/enoyl-CoA hydratase</t>
    <phoneticPr fontId="1" type="noConversion"/>
  </si>
  <si>
    <t>C-4 sterol methyl oxidase</t>
    <phoneticPr fontId="1" type="noConversion"/>
  </si>
  <si>
    <t xml:space="preserve">C25G4.2 </t>
  </si>
  <si>
    <t>PhytoChelatin Synthase</t>
  </si>
  <si>
    <t>pcs-1</t>
  </si>
  <si>
    <t>F54D5.1</t>
  </si>
  <si>
    <t>Prosaposin</t>
  </si>
  <si>
    <t>spp-10</t>
  </si>
  <si>
    <t>C28C12.7</t>
  </si>
  <si>
    <t>F52D10.5</t>
  </si>
  <si>
    <t>sto-3</t>
  </si>
  <si>
    <t>Prohibitins and stomatins of the PID superfamily</t>
  </si>
  <si>
    <t>Predicted sugar kinase</t>
  </si>
  <si>
    <t xml:space="preserve">C50D2.7 </t>
  </si>
  <si>
    <t>R13A5.12</t>
  </si>
  <si>
    <t>lpd-7</t>
  </si>
  <si>
    <t>Protein required for normal rRNA processing</t>
  </si>
  <si>
    <t>Fold Induction</t>
    <phoneticPr fontId="1" type="noConversion"/>
  </si>
  <si>
    <r>
      <t>spg-7</t>
    </r>
    <r>
      <rPr>
        <b/>
        <sz val="12"/>
        <rFont val="Arial"/>
      </rPr>
      <t>(RNAi)/control</t>
    </r>
    <phoneticPr fontId="1" type="noConversion"/>
  </si>
  <si>
    <t>Wild-type</t>
    <phoneticPr fontId="1" type="noConversion"/>
  </si>
  <si>
    <t>atfs-1(tm4525)</t>
    <phoneticPr fontId="1" type="noConversion"/>
  </si>
  <si>
    <t>Fold difference</t>
    <phoneticPr fontId="1" type="noConversion"/>
  </si>
  <si>
    <r>
      <t>Wild-type/</t>
    </r>
    <r>
      <rPr>
        <b/>
        <i/>
        <sz val="12"/>
        <rFont val="Arial"/>
      </rPr>
      <t>atfs-1(tm4525)</t>
    </r>
    <phoneticPr fontId="1" type="noConversion"/>
  </si>
  <si>
    <r>
      <t xml:space="preserve">in </t>
    </r>
    <r>
      <rPr>
        <b/>
        <i/>
        <sz val="12"/>
        <rFont val="Arial"/>
      </rPr>
      <t>atfs-1(tm4525)</t>
    </r>
    <phoneticPr fontId="1" type="noConversion"/>
  </si>
  <si>
    <t xml:space="preserve">C09F12.1 </t>
  </si>
  <si>
    <t xml:space="preserve">tag-234 </t>
  </si>
  <si>
    <t>Microtubule binding protein</t>
  </si>
  <si>
    <t xml:space="preserve">tag-345 </t>
  </si>
  <si>
    <t xml:space="preserve">F55F8.5 </t>
  </si>
  <si>
    <t>Secreted surface protein</t>
  </si>
  <si>
    <t xml:space="preserve">F49F1.6 </t>
  </si>
  <si>
    <t>RRM domain</t>
  </si>
  <si>
    <t>H28G03.1</t>
  </si>
  <si>
    <t>protein with a THAP or THAP-like domain</t>
  </si>
  <si>
    <t>B0336.7</t>
  </si>
  <si>
    <t>Protein involved in the nuclear export of pre-ribosomes</t>
  </si>
  <si>
    <t xml:space="preserve">C37H5.5 </t>
  </si>
  <si>
    <t>Predicted Yippee-type zinc-binding protein</t>
  </si>
  <si>
    <t>B0546.4</t>
  </si>
  <si>
    <t xml:space="preserve">Y32H12A.7 </t>
  </si>
  <si>
    <t>Predicted secreted cysteine rich protein</t>
  </si>
  <si>
    <t xml:space="preserve">T28A11.19 </t>
  </si>
  <si>
    <t>Predicted small molecule kinase</t>
  </si>
  <si>
    <t>E02C12.8</t>
  </si>
  <si>
    <t xml:space="preserve">F58B4.5 </t>
  </si>
  <si>
    <t xml:space="preserve">T16G1.4 </t>
  </si>
  <si>
    <t xml:space="preserve">T16G1.5 </t>
  </si>
  <si>
    <t xml:space="preserve">E02C12.6 </t>
  </si>
  <si>
    <t xml:space="preserve">numr-1 </t>
  </si>
  <si>
    <t xml:space="preserve">F08F8.5 </t>
  </si>
  <si>
    <t>Metabolism: lipids</t>
    <phoneticPr fontId="1" type="noConversion"/>
  </si>
  <si>
    <t>ACyLtransferase-like</t>
    <phoneticPr fontId="1" type="noConversion"/>
  </si>
  <si>
    <t>acs-21</t>
    <phoneticPr fontId="1" type="noConversion"/>
  </si>
  <si>
    <t>3-hydroxy-3-methylglutaryl-CoA reductase</t>
    <phoneticPr fontId="1" type="noConversion"/>
  </si>
  <si>
    <t>Serine palmitoyltransferase</t>
    <phoneticPr fontId="1" type="noConversion"/>
  </si>
  <si>
    <t>Integral membrane O-acyltransferase</t>
    <phoneticPr fontId="1" type="noConversion"/>
  </si>
  <si>
    <t>Iron Sulfur cluster assembly</t>
    <phoneticPr fontId="1" type="noConversion"/>
  </si>
  <si>
    <t>Orphans</t>
    <phoneticPr fontId="1" type="noConversion"/>
  </si>
  <si>
    <t>unc-94</t>
    <phoneticPr fontId="1" type="noConversion"/>
  </si>
  <si>
    <t>transthyretin-like domain</t>
    <phoneticPr fontId="1" type="noConversion"/>
  </si>
  <si>
    <t>yeast ULA (ubiquitin activating) homolog</t>
    <phoneticPr fontId="1" type="noConversion"/>
  </si>
  <si>
    <t>Tumor differentially expressed (TDE) protein</t>
    <phoneticPr fontId="1" type="noConversion"/>
  </si>
  <si>
    <t>STEROIDOGENIC ACUTE REGULATORY PROTEIN homologue</t>
    <phoneticPr fontId="1" type="noConversion"/>
  </si>
  <si>
    <t>Predicted small molecule kinase</t>
    <phoneticPr fontId="1" type="noConversion"/>
  </si>
  <si>
    <t xml:space="preserve">C27B7.2 </t>
  </si>
  <si>
    <t xml:space="preserve">C37A5.7 </t>
  </si>
  <si>
    <t xml:space="preserve">F35D11.3 </t>
  </si>
  <si>
    <t>Mitochondrial associated endoribonuclease MAR1/mitochondrial RNA metabolism</t>
  </si>
  <si>
    <t xml:space="preserve">C31H2.4 </t>
  </si>
  <si>
    <t xml:space="preserve">F08F8.2 </t>
  </si>
  <si>
    <t>F09F7.7</t>
  </si>
  <si>
    <t>2-Oxoglutarate- and iron-dependent dioxygenase-related proteins</t>
  </si>
  <si>
    <t xml:space="preserve">C35D10.5 </t>
  </si>
  <si>
    <t>Ubiquinol cytochrome c reductase assembly protein</t>
  </si>
  <si>
    <t>contains ZZ-type Zn-finger</t>
  </si>
  <si>
    <t xml:space="preserve">T12G3.1 </t>
  </si>
  <si>
    <t>Uncharacterized protein with conserved cysteine</t>
  </si>
  <si>
    <t xml:space="preserve">ttr-48 </t>
  </si>
  <si>
    <t xml:space="preserve">ZC64.2 </t>
  </si>
  <si>
    <t xml:space="preserve">ttr-5 </t>
  </si>
  <si>
    <t xml:space="preserve">C40H1.5 </t>
  </si>
  <si>
    <t>TIL-domain protease inhibitor</t>
  </si>
  <si>
    <t xml:space="preserve">C25E10.7 </t>
  </si>
  <si>
    <t xml:space="preserve">B0035.16 </t>
  </si>
  <si>
    <t>tRNA cytosine-5-methylases</t>
  </si>
  <si>
    <t xml:space="preserve">Y39G10AR.21 </t>
  </si>
  <si>
    <t>Uncharacterized membrane protein</t>
  </si>
  <si>
    <t>M01F1.4</t>
  </si>
  <si>
    <t>Uncharacterized protein with ubiquitin fold</t>
  </si>
  <si>
    <t xml:space="preserve">C49A9.6 </t>
  </si>
  <si>
    <t>F58F9.3</t>
  </si>
  <si>
    <t xml:space="preserve">F58G6.2 </t>
  </si>
  <si>
    <t>contains BTB/POZ domain</t>
  </si>
  <si>
    <t xml:space="preserve">bath-45 </t>
  </si>
  <si>
    <t xml:space="preserve">F29C12.5 </t>
  </si>
  <si>
    <t>Glutathione S-transferase</t>
    <phoneticPr fontId="1" type="noConversion"/>
  </si>
  <si>
    <t>SyNaptoBrevin related</t>
  </si>
  <si>
    <t xml:space="preserve">snb-2 </t>
  </si>
  <si>
    <t xml:space="preserve">F23H12.1 </t>
  </si>
  <si>
    <t xml:space="preserve">ula-1 </t>
  </si>
  <si>
    <t xml:space="preserve">C26E6.8 </t>
  </si>
  <si>
    <t>von Willebrand factor</t>
  </si>
  <si>
    <t>T01D3.6</t>
  </si>
  <si>
    <t>Y57E12AL.1</t>
  </si>
  <si>
    <t xml:space="preserve">F52F12.7 </t>
  </si>
  <si>
    <t>/mitochondrial biogenesis</t>
  </si>
  <si>
    <t>F35G2.2</t>
  </si>
  <si>
    <t>B0035.16</t>
  </si>
  <si>
    <t>Lipoate synthase</t>
  </si>
  <si>
    <t xml:space="preserve">M01F1.3 </t>
  </si>
  <si>
    <t xml:space="preserve">C23H4.2 </t>
  </si>
  <si>
    <t>Carboxylesterase and related proteins</t>
  </si>
  <si>
    <t xml:space="preserve">F15A8.6 </t>
  </si>
  <si>
    <t xml:space="preserve">B0238.13 </t>
  </si>
  <si>
    <t xml:space="preserve">F35C8.5 </t>
  </si>
  <si>
    <t xml:space="preserve">mai-1 </t>
  </si>
  <si>
    <t>ATPase inhibitory factor</t>
  </si>
  <si>
    <t xml:space="preserve">C35D10.4 </t>
  </si>
  <si>
    <t xml:space="preserve">coq-8 </t>
  </si>
  <si>
    <t>ABC (ATP binding cassette) 1 protein</t>
  </si>
  <si>
    <t>Integral membrane O-acyltransferase</t>
  </si>
  <si>
    <t xml:space="preserve">C08F11.13 </t>
  </si>
  <si>
    <t xml:space="preserve">srx-2 </t>
  </si>
  <si>
    <t xml:space="preserve">R03H4.2 </t>
  </si>
  <si>
    <t>O-ACyltransferase homolog</t>
  </si>
  <si>
    <t>oac-59</t>
  </si>
  <si>
    <t>C42C1.7</t>
  </si>
  <si>
    <t>Serpentine receptor</t>
    <phoneticPr fontId="1" type="noConversion"/>
  </si>
  <si>
    <t>Transporters</t>
    <phoneticPr fontId="1" type="noConversion"/>
  </si>
  <si>
    <t>Mitochondrial carrier protein - Rim2p/Mrs12p</t>
    <phoneticPr fontId="1" type="noConversion"/>
  </si>
  <si>
    <t>Mitochondrial ADP/ATP carrier proteins</t>
    <phoneticPr fontId="1" type="noConversion"/>
  </si>
  <si>
    <t>Innexin-type channels</t>
    <phoneticPr fontId="1" type="noConversion"/>
  </si>
  <si>
    <t>Mitochondrial quality control</t>
    <phoneticPr fontId="1" type="noConversion"/>
  </si>
  <si>
    <t>YME1-Like (Yeast Mitochondrial Escape) AAA protease)</t>
    <phoneticPr fontId="1" type="noConversion"/>
  </si>
  <si>
    <t>mff-2</t>
    <phoneticPr fontId="1" type="noConversion"/>
  </si>
  <si>
    <t>Mitochondrial sulfhydryl oxidase</t>
    <phoneticPr fontId="1" type="noConversion"/>
  </si>
  <si>
    <t>Similarity to the mammalian BNIP3 proteins</t>
    <phoneticPr fontId="1" type="noConversion"/>
  </si>
  <si>
    <t>Protein folding/degradation</t>
    <phoneticPr fontId="1" type="noConversion"/>
  </si>
  <si>
    <t>Y119D3B.20</t>
    <phoneticPr fontId="1" type="noConversion"/>
  </si>
  <si>
    <t>F-box A protein</t>
    <phoneticPr fontId="1" type="noConversion"/>
  </si>
  <si>
    <t xml:space="preserve">Y22D7AR.9 </t>
    <phoneticPr fontId="1" type="noConversion"/>
  </si>
  <si>
    <t>H21P03.3</t>
  </si>
  <si>
    <t xml:space="preserve">srp-1 </t>
  </si>
  <si>
    <t xml:space="preserve">C05E4.3 </t>
  </si>
  <si>
    <t xml:space="preserve"> serpin (ov-serpin) member of the serine protease</t>
  </si>
  <si>
    <t xml:space="preserve">srp-5 </t>
  </si>
  <si>
    <t xml:space="preserve">C03G6.18 </t>
  </si>
  <si>
    <t xml:space="preserve">Tropomodulin and leiomodulin </t>
  </si>
  <si>
    <t>C06A5.7</t>
  </si>
  <si>
    <t>Mitochondrial Fe-S cluster biosynthesis protein ISA2</t>
  </si>
  <si>
    <t xml:space="preserve">Y54G11A.9 </t>
  </si>
  <si>
    <t>Nuclear architecture related protein</t>
  </si>
  <si>
    <t>oxy-4</t>
  </si>
  <si>
    <t xml:space="preserve">Y54H5A.4 </t>
  </si>
  <si>
    <t xml:space="preserve">ZC395.2 </t>
  </si>
  <si>
    <t xml:space="preserve">clk-1 </t>
  </si>
  <si>
    <t>CLocK (biological timing) abnormality</t>
  </si>
  <si>
    <t xml:space="preserve">C30H7.1 </t>
  </si>
  <si>
    <t>zip-3</t>
  </si>
  <si>
    <t xml:space="preserve">W07G1.3 </t>
  </si>
  <si>
    <t>bZIP transcription factor</t>
  </si>
  <si>
    <t xml:space="preserve">ech-9 </t>
  </si>
  <si>
    <t xml:space="preserve">F01G10.3 </t>
  </si>
  <si>
    <t>Glycosyl hydrolase</t>
  </si>
  <si>
    <t xml:space="preserve">C47E12.3 </t>
  </si>
  <si>
    <t>HLHZip transcription factor BIGMAX</t>
  </si>
  <si>
    <t xml:space="preserve">mxl-2 </t>
  </si>
  <si>
    <t xml:space="preserve">F40G9.11 </t>
  </si>
  <si>
    <t>Helicase-like transcription factor</t>
  </si>
  <si>
    <t xml:space="preserve">F19B2.5 </t>
  </si>
  <si>
    <t xml:space="preserve">Y40C5A.1 </t>
  </si>
  <si>
    <t>Ca2+ binding protein</t>
  </si>
  <si>
    <t xml:space="preserve">C56A3.6 </t>
  </si>
  <si>
    <t>Inositol polyphosphate 5-phosphatase</t>
  </si>
  <si>
    <t>cil-1</t>
  </si>
  <si>
    <t xml:space="preserve">C50C3.7 </t>
  </si>
  <si>
    <t>claudin homolog</t>
  </si>
  <si>
    <t xml:space="preserve">clc-1 </t>
  </si>
  <si>
    <t xml:space="preserve">C24G6.6 </t>
  </si>
  <si>
    <t>Y73F8A.27</t>
  </si>
  <si>
    <t>Ferredoxin</t>
  </si>
  <si>
    <t>Delta 6-fatty acid desaturase</t>
  </si>
  <si>
    <t xml:space="preserve">fat-3 </t>
  </si>
  <si>
    <t xml:space="preserve">W08D2.4 </t>
  </si>
  <si>
    <t>CREB binding protein/P300</t>
  </si>
  <si>
    <t xml:space="preserve">F40F12.7 </t>
  </si>
  <si>
    <t>Long chain fatty acid elongase</t>
  </si>
  <si>
    <t xml:space="preserve">elo-6 </t>
  </si>
  <si>
    <t>F41H10.8</t>
  </si>
  <si>
    <t xml:space="preserve">Y106G6A.1 </t>
  </si>
  <si>
    <t>MEKK and related serine/threonine protein kinases</t>
  </si>
  <si>
    <t xml:space="preserve">F56C11.3 </t>
  </si>
  <si>
    <t xml:space="preserve">Y53F4B.32 </t>
  </si>
  <si>
    <t xml:space="preserve">gst-29 </t>
  </si>
  <si>
    <t>glutathione S-transferase</t>
  </si>
  <si>
    <t>T04B2.6</t>
  </si>
  <si>
    <t>Predicted short chain-type dehydrogenase</t>
  </si>
  <si>
    <t xml:space="preserve">F20G2.1 </t>
  </si>
  <si>
    <t xml:space="preserve">R05D8.8 </t>
  </si>
  <si>
    <t xml:space="preserve">dhs-14 </t>
  </si>
  <si>
    <t>Short chain-type dehydrogenase</t>
  </si>
  <si>
    <t xml:space="preserve">C10H11.4 </t>
  </si>
  <si>
    <t xml:space="preserve">ugt-28 </t>
  </si>
  <si>
    <t>UDP-glucuronosyl and UDP-glucosyl transferase</t>
  </si>
  <si>
    <t xml:space="preserve">K08B4.3 </t>
  </si>
  <si>
    <t xml:space="preserve">ugt-19 </t>
  </si>
  <si>
    <t xml:space="preserve">AC3.8 </t>
  </si>
  <si>
    <t>Predicted olfactory G-protein coupled receptor</t>
  </si>
  <si>
    <t xml:space="preserve">sri-36 </t>
  </si>
  <si>
    <t xml:space="preserve">F33H12.5 </t>
  </si>
  <si>
    <t>Predicted alpha-helical protein</t>
  </si>
  <si>
    <t xml:space="preserve">C42D4.1 </t>
  </si>
  <si>
    <t>Predicted cell growth/differentiation regulator</t>
  </si>
  <si>
    <t>K05B2.2</t>
  </si>
  <si>
    <t xml:space="preserve">K02A2.2 </t>
  </si>
  <si>
    <t xml:space="preserve">srd-55 </t>
  </si>
  <si>
    <t xml:space="preserve">Chemoreceptor/7TM receptor </t>
  </si>
  <si>
    <t xml:space="preserve">F40F9.2 </t>
  </si>
  <si>
    <t xml:space="preserve">tag-120 </t>
  </si>
  <si>
    <t>N-methyl-D-aspartate receptor</t>
  </si>
  <si>
    <t xml:space="preserve">C03G6.16 </t>
  </si>
  <si>
    <t xml:space="preserve">srsx-24 </t>
  </si>
  <si>
    <t>7-transmembrane receptor</t>
  </si>
  <si>
    <t>Jun-N-terminal kinase</t>
  </si>
  <si>
    <t xml:space="preserve">Y51B9A.9 </t>
  </si>
  <si>
    <t>Jun-N-terminal kinase (JNK)</t>
  </si>
  <si>
    <t>C49C3.10</t>
  </si>
  <si>
    <t xml:space="preserve">inx-9 </t>
  </si>
  <si>
    <t xml:space="preserve">ZK792.3 </t>
  </si>
  <si>
    <t>Uncharacterized conserved protein</t>
  </si>
  <si>
    <t>ZC328.3</t>
  </si>
  <si>
    <t xml:space="preserve">R186.1 </t>
  </si>
  <si>
    <t xml:space="preserve">K04G2.6 </t>
  </si>
  <si>
    <t xml:space="preserve">T12B5.10 </t>
  </si>
  <si>
    <t xml:space="preserve">C46A5.1 </t>
  </si>
  <si>
    <t>Predicted lipase</t>
  </si>
  <si>
    <t>T21H3.1</t>
  </si>
  <si>
    <t>Predicted hydrolase/acyltransferase</t>
  </si>
  <si>
    <t xml:space="preserve">C37H5.2 </t>
  </si>
  <si>
    <t xml:space="preserve">T25D10.1 </t>
  </si>
  <si>
    <t xml:space="preserve">lact-3 </t>
  </si>
  <si>
    <t xml:space="preserve">M28.6 </t>
  </si>
  <si>
    <t>Polyprenyl synthetase</t>
  </si>
  <si>
    <t xml:space="preserve">coq-1 </t>
  </si>
  <si>
    <t xml:space="preserve">C24A11.9 </t>
  </si>
  <si>
    <t xml:space="preserve">T10B9.10 </t>
  </si>
  <si>
    <t xml:space="preserve">cyp-13A7 </t>
  </si>
  <si>
    <t xml:space="preserve">Y17D7A.4 </t>
  </si>
  <si>
    <t xml:space="preserve">cyp-33D3 </t>
  </si>
  <si>
    <t xml:space="preserve">C45H4.17 </t>
  </si>
  <si>
    <t xml:space="preserve">cyp-33C2 </t>
  </si>
  <si>
    <t xml:space="preserve">B0213.14 </t>
  </si>
  <si>
    <t xml:space="preserve">cyp-34A8 </t>
  </si>
  <si>
    <t>CYtochrome P450 family</t>
  </si>
  <si>
    <t xml:space="preserve">F40F8.7 </t>
  </si>
  <si>
    <t xml:space="preserve">pqm-1 </t>
  </si>
  <si>
    <t>paraquat responsive</t>
  </si>
  <si>
    <t xml:space="preserve">T10B9.2 </t>
  </si>
  <si>
    <t xml:space="preserve">cyp-13A5 </t>
  </si>
  <si>
    <t xml:space="preserve">F14F7.3 </t>
  </si>
  <si>
    <t xml:space="preserve">cyp-13A11 </t>
  </si>
  <si>
    <t>Cytochrome P450 subfamily</t>
  </si>
  <si>
    <t xml:space="preserve">T10B9.3 </t>
  </si>
  <si>
    <t xml:space="preserve">cyp-13A6 </t>
  </si>
  <si>
    <t xml:space="preserve">C49C8.4 </t>
  </si>
  <si>
    <t xml:space="preserve">cyp-33E1 </t>
  </si>
  <si>
    <t xml:space="preserve">F53C3.12 </t>
  </si>
  <si>
    <t xml:space="preserve">bcmo-2 </t>
  </si>
  <si>
    <t>beta-carotene 15,15'-dioxygenase</t>
  </si>
  <si>
    <t>tRNA (5-methylaminomethyl-2-thiouridylate)-methyltransferase/ mitochondrial specific tRNA modifying enzyme</t>
  </si>
  <si>
    <t>Multidrug/pheromone exporter</t>
  </si>
  <si>
    <t xml:space="preserve">T21E8.3 </t>
  </si>
  <si>
    <t xml:space="preserve">pgp-8 </t>
  </si>
  <si>
    <t xml:space="preserve">C48A7.2 </t>
  </si>
  <si>
    <t>Na+/Pi symporter</t>
  </si>
  <si>
    <t xml:space="preserve">C07A9.11 </t>
  </si>
  <si>
    <t xml:space="preserve">ncx-7 </t>
  </si>
  <si>
    <t>Na/Ca eXchangers</t>
  </si>
  <si>
    <t xml:space="preserve">Tam3-transposase </t>
  </si>
  <si>
    <t xml:space="preserve">lin-15B </t>
  </si>
  <si>
    <t xml:space="preserve">ZK662.4 </t>
  </si>
  <si>
    <t>D2013.8</t>
  </si>
  <si>
    <t>scp-1</t>
  </si>
  <si>
    <t>Cholesterol transport protein</t>
  </si>
  <si>
    <t xml:space="preserve">lin-15A </t>
  </si>
  <si>
    <t>negatively regulate vulval development</t>
  </si>
  <si>
    <t>vhp-1</t>
  </si>
  <si>
    <t>Dual specificity phosphatase</t>
  </si>
  <si>
    <t xml:space="preserve">Y43C5A.2 </t>
  </si>
  <si>
    <t xml:space="preserve">Y60A3A.7 </t>
  </si>
  <si>
    <t>Alpha/beta hydrolase</t>
  </si>
  <si>
    <t>T28H10.1</t>
  </si>
  <si>
    <t>Alpha-aminoadipic semialdehyde dehydrogenase-phosphopantetheinyl transferase</t>
  </si>
  <si>
    <t>K07B1.5</t>
  </si>
  <si>
    <t>acl-14</t>
  </si>
  <si>
    <t>acyltransferases</t>
  </si>
  <si>
    <t xml:space="preserve">C01C10.3 </t>
  </si>
  <si>
    <t xml:space="preserve">acl-12 </t>
  </si>
  <si>
    <t xml:space="preserve">AU114760_rc </t>
  </si>
  <si>
    <t>Oleate desaturase/linoleate desaturase</t>
  </si>
  <si>
    <t xml:space="preserve">fat-2 </t>
  </si>
  <si>
    <t xml:space="preserve">W02A2.1 </t>
  </si>
  <si>
    <t>Phospholipase/carboxyhydrolase</t>
  </si>
  <si>
    <t>bZip transcription factor</t>
  </si>
  <si>
    <t>T19E7.2</t>
  </si>
  <si>
    <t>skn-1</t>
  </si>
  <si>
    <t>bZIP transcription factor NRF1</t>
  </si>
  <si>
    <t xml:space="preserve">C54D10.1 </t>
  </si>
  <si>
    <t xml:space="preserve">cdr-2 </t>
  </si>
  <si>
    <t>glutathione S-transferase-like protein</t>
  </si>
  <si>
    <t xml:space="preserve">K01D12.11 </t>
  </si>
  <si>
    <t xml:space="preserve">cdr-4 </t>
  </si>
  <si>
    <t>cadmium responsive</t>
  </si>
  <si>
    <t>antimicrobial peptide</t>
  </si>
  <si>
    <t xml:space="preserve">abf-2 </t>
  </si>
  <si>
    <t xml:space="preserve">g6714550 </t>
  </si>
  <si>
    <t xml:space="preserve">F37B1.3 </t>
  </si>
  <si>
    <t xml:space="preserve">gst-14 </t>
  </si>
  <si>
    <t>Gene symbol</t>
  </si>
  <si>
    <t>RNA polymerase II transcription termination factor TTF2</t>
  </si>
  <si>
    <t xml:space="preserve">Y113G7B.14 </t>
  </si>
  <si>
    <t>SaPosin-like Protein family</t>
  </si>
  <si>
    <t xml:space="preserve">spp-15 </t>
  </si>
  <si>
    <t>C48E7.10</t>
  </si>
  <si>
    <t>SphingoMyelin Synthase</t>
  </si>
  <si>
    <t>sms-1</t>
  </si>
  <si>
    <t xml:space="preserve">F18E9.2 </t>
  </si>
  <si>
    <t xml:space="preserve">nlp-7 </t>
  </si>
  <si>
    <t xml:space="preserve">C08A9.1 </t>
  </si>
  <si>
    <t xml:space="preserve">sod-3 </t>
  </si>
  <si>
    <t xml:space="preserve">K08F4.7 </t>
  </si>
  <si>
    <t xml:space="preserve">gst-4 </t>
  </si>
  <si>
    <t>Glutathione S-transferase</t>
  </si>
  <si>
    <t>ZC376.7</t>
  </si>
  <si>
    <t>atfs-1</t>
  </si>
  <si>
    <t>Serine/threonine specific protein phosphatase PP1</t>
  </si>
  <si>
    <t xml:space="preserve">gsp-2, kap-1 </t>
  </si>
  <si>
    <t>dct-1</t>
  </si>
  <si>
    <t>C14F5.1</t>
  </si>
  <si>
    <t>T09B4.10</t>
  </si>
  <si>
    <t xml:space="preserve">chn-1 </t>
  </si>
  <si>
    <t>Chaperone-dependent E3 ubiquitin protein ligase</t>
  </si>
  <si>
    <t xml:space="preserve">F59D6.3 </t>
  </si>
  <si>
    <t>Aspartyl protease</t>
  </si>
  <si>
    <t xml:space="preserve">CE21A4 </t>
  </si>
  <si>
    <t xml:space="preserve">asp-6 </t>
  </si>
  <si>
    <t>F box A protein</t>
  </si>
  <si>
    <t xml:space="preserve">fbxa-3 </t>
  </si>
  <si>
    <t xml:space="preserve">T08E11.7 </t>
  </si>
  <si>
    <t>F box C protein</t>
  </si>
  <si>
    <t xml:space="preserve">fbxc-1 </t>
  </si>
  <si>
    <t xml:space="preserve">ugt-12 </t>
  </si>
  <si>
    <t xml:space="preserve">C33A12.6 </t>
  </si>
  <si>
    <t xml:space="preserve">ugt-21 </t>
  </si>
  <si>
    <t>T07C5.1</t>
  </si>
  <si>
    <t>ugt-50</t>
  </si>
  <si>
    <t xml:space="preserve">C06E4.3 </t>
  </si>
  <si>
    <t>Reductases with broad range of substrate specificities</t>
  </si>
  <si>
    <t xml:space="preserve">R05D8.7 </t>
  </si>
  <si>
    <t xml:space="preserve">ZK1290.5 </t>
  </si>
  <si>
    <t xml:space="preserve">C56E6.2 </t>
  </si>
  <si>
    <t>M03F8.4</t>
  </si>
  <si>
    <t>galt-1</t>
  </si>
  <si>
    <t>galactosyltransferase</t>
  </si>
  <si>
    <t>Flavin-containing amine oxidase</t>
  </si>
  <si>
    <t>Predicted metallothionein</t>
  </si>
  <si>
    <t xml:space="preserve">R04D3.1 </t>
  </si>
  <si>
    <t xml:space="preserve">cyp-14A4 </t>
  </si>
  <si>
    <t>Cytochrome P450 CYP2 subfamily</t>
  </si>
  <si>
    <t xml:space="preserve">K09A11.2 </t>
  </si>
  <si>
    <t xml:space="preserve">cyp-14A1 </t>
  </si>
  <si>
    <t xml:space="preserve">R08F11.3 </t>
  </si>
  <si>
    <t xml:space="preserve">cyp-33C8 </t>
  </si>
  <si>
    <t xml:space="preserve">T10B9.4 </t>
  </si>
  <si>
    <t xml:space="preserve">cyp-13A8 </t>
  </si>
  <si>
    <t>Cytochrome P450 CYP3/CYP5/CYP6/CYP9 subfamilies</t>
  </si>
  <si>
    <t>UDP-N-acetylglucosamine transporter</t>
  </si>
  <si>
    <t>F15B10.1</t>
  </si>
  <si>
    <t>Synaptic vesicle transporter SVOP and related transporters</t>
  </si>
  <si>
    <t xml:space="preserve">C46C2.2 </t>
  </si>
  <si>
    <t xml:space="preserve">K09E9.1 </t>
  </si>
  <si>
    <t xml:space="preserve">C54F6.4 </t>
  </si>
  <si>
    <t xml:space="preserve">R10D12.9 </t>
  </si>
  <si>
    <t>predicted transmembrane domain</t>
  </si>
  <si>
    <t xml:space="preserve">F49H12.4 </t>
  </si>
  <si>
    <t>Predicted transporter/transmembrane protein</t>
  </si>
  <si>
    <t xml:space="preserve">F27D9.2 </t>
  </si>
  <si>
    <t>F27C1.2</t>
  </si>
  <si>
    <t>Copper transporter</t>
  </si>
  <si>
    <t>Y32F6A.4</t>
  </si>
  <si>
    <t>Amino acid transporters</t>
  </si>
  <si>
    <t xml:space="preserve">F57A10.3 </t>
  </si>
  <si>
    <t xml:space="preserve">ugt-2 </t>
  </si>
  <si>
    <t>UDP-GlucuronosylTransferase</t>
  </si>
  <si>
    <t xml:space="preserve">M88.1 </t>
  </si>
  <si>
    <t xml:space="preserve">ugt-62 </t>
  </si>
  <si>
    <t xml:space="preserve">F39G3.1 </t>
  </si>
  <si>
    <t xml:space="preserve">ugt-61 </t>
  </si>
  <si>
    <t xml:space="preserve">F09G2.6 </t>
  </si>
  <si>
    <t xml:space="preserve">ugt-36 </t>
  </si>
  <si>
    <t xml:space="preserve">T19H12.9 </t>
  </si>
  <si>
    <t xml:space="preserve">K01C8.1 </t>
  </si>
  <si>
    <t>Serine/threonine protein phosphatase</t>
  </si>
  <si>
    <t xml:space="preserve">W09D10.4 </t>
  </si>
  <si>
    <t>sptl-1</t>
  </si>
  <si>
    <t>C23H3.4</t>
  </si>
  <si>
    <t>putative phospholipid scramblase</t>
  </si>
  <si>
    <t xml:space="preserve">scrm-4 </t>
  </si>
  <si>
    <t xml:space="preserve">F11A6.2 </t>
  </si>
  <si>
    <t>Purple acid phosphatase</t>
  </si>
  <si>
    <t xml:space="preserve">Y105C5B.15 </t>
  </si>
  <si>
    <t>T27E9.4</t>
  </si>
  <si>
    <t>kel-3</t>
  </si>
  <si>
    <t>Proteins containing BTB/POZ</t>
  </si>
  <si>
    <t>protein with an N-terminal F-box domain</t>
  </si>
  <si>
    <t xml:space="preserve">fbxa-153 </t>
  </si>
  <si>
    <t xml:space="preserve">B0391.5 </t>
  </si>
  <si>
    <t>protein containing an F-box</t>
  </si>
  <si>
    <t xml:space="preserve">fbxa-143 </t>
  </si>
  <si>
    <t xml:space="preserve">F44G3.8 </t>
  </si>
  <si>
    <t xml:space="preserve">fbxa-51 </t>
  </si>
  <si>
    <t xml:space="preserve">T12B5.1 </t>
  </si>
  <si>
    <t xml:space="preserve">fbxa-60 </t>
  </si>
  <si>
    <t xml:space="preserve">T10B10.8 </t>
  </si>
  <si>
    <t xml:space="preserve">C18A11.1 </t>
  </si>
  <si>
    <t xml:space="preserve">F28H1.1 </t>
  </si>
  <si>
    <t>C29F9.3</t>
  </si>
  <si>
    <t xml:space="preserve">H34I24.2 </t>
  </si>
  <si>
    <t xml:space="preserve">D1022.3 </t>
  </si>
  <si>
    <t xml:space="preserve">Y47H10A.5 </t>
  </si>
  <si>
    <t xml:space="preserve">F59A7.2 </t>
  </si>
  <si>
    <t>ZK470.2</t>
  </si>
  <si>
    <t xml:space="preserve">W02D7.5 </t>
  </si>
  <si>
    <t>C39E9.8</t>
  </si>
  <si>
    <t xml:space="preserve">M28.4 </t>
  </si>
  <si>
    <t xml:space="preserve">C24B5.4 </t>
  </si>
  <si>
    <t xml:space="preserve">Y47D7A.14 </t>
  </si>
  <si>
    <t xml:space="preserve">F25B3.5 </t>
  </si>
  <si>
    <t xml:space="preserve">C49G7.7 </t>
  </si>
  <si>
    <t xml:space="preserve">F21A9.2 </t>
  </si>
  <si>
    <t xml:space="preserve">D1054.5 </t>
  </si>
  <si>
    <t>Ficolin and related extracellular proteins</t>
  </si>
  <si>
    <t xml:space="preserve">R09B5.9 </t>
  </si>
  <si>
    <t xml:space="preserve">cnc-4 </t>
  </si>
  <si>
    <t xml:space="preserve">Y22F5A.5 </t>
  </si>
  <si>
    <t xml:space="preserve">lys-2 </t>
  </si>
  <si>
    <t>N-acetylmuraminidase/lysozyme</t>
  </si>
  <si>
    <t xml:space="preserve">F35C5.9 </t>
  </si>
  <si>
    <t xml:space="preserve">clec-66 </t>
  </si>
  <si>
    <t>Lectin C-type domain/CUB domain</t>
  </si>
  <si>
    <t>clec-62</t>
  </si>
  <si>
    <t xml:space="preserve">clec-65 </t>
  </si>
  <si>
    <t>Lectin C-type domain</t>
  </si>
  <si>
    <t>F38A5.3</t>
  </si>
  <si>
    <t>lec-11</t>
  </si>
  <si>
    <t>Galectin, galactose-binding lectin</t>
  </si>
  <si>
    <t xml:space="preserve">E03H4.10 </t>
  </si>
  <si>
    <t xml:space="preserve">clec-17 </t>
  </si>
  <si>
    <t>C-type lectin</t>
  </si>
  <si>
    <t>zip-5</t>
  </si>
  <si>
    <t>Mitochondrial import inner membrane translocase, subunit TIM17</t>
  </si>
  <si>
    <t xml:space="preserve">C47A10.1 </t>
  </si>
  <si>
    <t xml:space="preserve">pgp-9 </t>
  </si>
  <si>
    <t xml:space="preserve">F54D5.3 </t>
  </si>
  <si>
    <t xml:space="preserve">Y43F8B.13 </t>
  </si>
  <si>
    <t xml:space="preserve">C03B1.14 </t>
  </si>
  <si>
    <t xml:space="preserve">T27F2.4 </t>
  </si>
  <si>
    <t xml:space="preserve">F17C11.6 </t>
  </si>
  <si>
    <t xml:space="preserve">D2007.1 </t>
  </si>
  <si>
    <t xml:space="preserve">F15B9.6 </t>
  </si>
  <si>
    <t xml:space="preserve">DC2.5 </t>
  </si>
  <si>
    <t xml:space="preserve">R08E5.1 </t>
  </si>
  <si>
    <t xml:space="preserve">K10G4.3 </t>
  </si>
  <si>
    <t>F54F2.8</t>
  </si>
  <si>
    <t>prx-19</t>
  </si>
  <si>
    <t>farnesylated protein associated with peroxisomes</t>
  </si>
  <si>
    <t xml:space="preserve">ymel-1 </t>
  </si>
  <si>
    <t xml:space="preserve">M03C11.5 </t>
  </si>
  <si>
    <t>Predicted E3 ubiquitin ligase</t>
  </si>
  <si>
    <t xml:space="preserve">tam-1 </t>
  </si>
  <si>
    <t>F26G5.9</t>
  </si>
  <si>
    <t>F52E1.13</t>
  </si>
  <si>
    <t>Oxidation resistance protein</t>
  </si>
  <si>
    <t>Molecular chaperone (DnaJ superfamily)</t>
  </si>
  <si>
    <t>dnj-10</t>
  </si>
  <si>
    <t>F22B7.5</t>
  </si>
  <si>
    <t xml:space="preserve">F55F8.6 </t>
  </si>
  <si>
    <t>Microtubule-associated anchor protein involved in autophagy</t>
  </si>
  <si>
    <t xml:space="preserve">lgg-2 </t>
  </si>
  <si>
    <t xml:space="preserve">ZK593.6 </t>
  </si>
  <si>
    <t>T12E12.4</t>
  </si>
  <si>
    <t>drp-1</t>
  </si>
  <si>
    <t>dynamin-related protein</t>
  </si>
  <si>
    <t>K01D12.14</t>
  </si>
  <si>
    <t>ACyLtransferase-like</t>
  </si>
  <si>
    <t>C36A4.9</t>
  </si>
  <si>
    <t>acs-19</t>
  </si>
  <si>
    <t>Acyl-CoA synthetase</t>
  </si>
  <si>
    <t xml:space="preserve">C50H11.1 </t>
  </si>
  <si>
    <t xml:space="preserve">B0218.2 </t>
  </si>
  <si>
    <t>faah-2</t>
  </si>
  <si>
    <t xml:space="preserve">Y38E10A.5 </t>
  </si>
  <si>
    <t xml:space="preserve">clec-4 </t>
  </si>
  <si>
    <t xml:space="preserve">M02F4.7 </t>
  </si>
  <si>
    <t xml:space="preserve">clec-265 </t>
  </si>
  <si>
    <t>c type Lectin</t>
  </si>
  <si>
    <t xml:space="preserve">F08H9.7 </t>
  </si>
  <si>
    <t xml:space="preserve">clec-56 </t>
  </si>
  <si>
    <t xml:space="preserve">ZK488.2 </t>
  </si>
  <si>
    <t xml:space="preserve">nhr-90 </t>
  </si>
  <si>
    <t>Nuclear Hormone Receptor family</t>
  </si>
  <si>
    <t>F33D4.1</t>
  </si>
  <si>
    <t>nhr-8</t>
  </si>
  <si>
    <t xml:space="preserve">ZK455.6 </t>
  </si>
  <si>
    <t xml:space="preserve">nhr-33 </t>
  </si>
  <si>
    <t xml:space="preserve">F57G8.6 </t>
  </si>
  <si>
    <t xml:space="preserve">nhr-193 </t>
  </si>
  <si>
    <t>nhr-115</t>
  </si>
  <si>
    <t xml:space="preserve">T01G6.8 </t>
  </si>
  <si>
    <t xml:space="preserve">nhr-130 </t>
  </si>
  <si>
    <t>nhr-212</t>
  </si>
  <si>
    <t xml:space="preserve">R11G11.1 </t>
  </si>
  <si>
    <t xml:space="preserve">nhr-132 </t>
  </si>
  <si>
    <t xml:space="preserve">F44C8.2 </t>
  </si>
  <si>
    <t xml:space="preserve">nhr-134 </t>
  </si>
  <si>
    <t xml:space="preserve">Y22F5A.1 </t>
  </si>
  <si>
    <t xml:space="preserve">nhr-232 </t>
  </si>
  <si>
    <t xml:space="preserve">T01G6.5 </t>
  </si>
  <si>
    <t xml:space="preserve">nhr-211 </t>
  </si>
  <si>
    <t xml:space="preserve">R11G11.12 </t>
  </si>
  <si>
    <t xml:space="preserve">nhr-210 </t>
  </si>
  <si>
    <t xml:space="preserve">F16B4.1 </t>
  </si>
  <si>
    <t xml:space="preserve">nhr-177 </t>
  </si>
  <si>
    <t>F-box A protein</t>
  </si>
  <si>
    <t xml:space="preserve">fbxa-36 </t>
  </si>
  <si>
    <t xml:space="preserve">Y119D3A.A </t>
  </si>
  <si>
    <t xml:space="preserve">fbxa-74 </t>
  </si>
  <si>
    <t xml:space="preserve">fbxa-162 </t>
  </si>
  <si>
    <t xml:space="preserve">C08E3.5 </t>
  </si>
  <si>
    <t>Manganese superoxide dismutase</t>
  </si>
  <si>
    <t>sulfate permease family of anion transporters</t>
  </si>
  <si>
    <t>sulp-7</t>
  </si>
  <si>
    <t>W04G3.6</t>
  </si>
  <si>
    <t xml:space="preserve">sulp-8 </t>
  </si>
  <si>
    <t xml:space="preserve">ZK287.2 </t>
  </si>
  <si>
    <t xml:space="preserve">R09B5.11 </t>
  </si>
  <si>
    <t xml:space="preserve">cnc-11 </t>
  </si>
  <si>
    <t xml:space="preserve">Permease of the major facilitator superfamily </t>
  </si>
  <si>
    <t>T28F3.4</t>
  </si>
  <si>
    <t>Permease of the major facilitator superfamily</t>
  </si>
  <si>
    <t xml:space="preserve">C01B4.7 </t>
  </si>
  <si>
    <t xml:space="preserve">C01B4.8 </t>
  </si>
  <si>
    <t>H17B01.1</t>
  </si>
  <si>
    <t xml:space="preserve">C25F6.1 </t>
  </si>
  <si>
    <t xml:space="preserve">T07D3.4 </t>
  </si>
  <si>
    <t xml:space="preserve">R193.2 </t>
  </si>
  <si>
    <t xml:space="preserve">F14F9.2 </t>
  </si>
  <si>
    <t xml:space="preserve">C41H7.4 </t>
  </si>
  <si>
    <t>R102.5</t>
  </si>
  <si>
    <t xml:space="preserve">H12D21.5 </t>
  </si>
  <si>
    <t xml:space="preserve">ZK418.7 </t>
  </si>
  <si>
    <t xml:space="preserve">T28H10.3 </t>
  </si>
  <si>
    <t>Asparaginyl peptidases</t>
  </si>
  <si>
    <t xml:space="preserve">K10B3.9 </t>
  </si>
  <si>
    <t>Lactate dehydrogenase</t>
  </si>
  <si>
    <t>Aldo/keto reductase family proteins</t>
  </si>
  <si>
    <t xml:space="preserve">K10D2.6 </t>
  </si>
  <si>
    <t xml:space="preserve">emb-8 </t>
  </si>
  <si>
    <t xml:space="preserve">K11G9.6 </t>
  </si>
  <si>
    <t xml:space="preserve">mtl-1 </t>
  </si>
  <si>
    <t>K06A1.5</t>
    <phoneticPr fontId="1" type="noConversion"/>
  </si>
  <si>
    <t xml:space="preserve">atg-16.2 </t>
  </si>
  <si>
    <t xml:space="preserve">ZK1320.2 </t>
  </si>
  <si>
    <t xml:space="preserve">C15H9.3 </t>
  </si>
  <si>
    <t xml:space="preserve">B0403.3 </t>
  </si>
  <si>
    <t>F59B10.4</t>
  </si>
  <si>
    <t xml:space="preserve">T28B8.1 </t>
  </si>
  <si>
    <t xml:space="preserve">K04F1.9 </t>
  </si>
  <si>
    <t xml:space="preserve">B0244.7 </t>
  </si>
  <si>
    <t xml:space="preserve">Y58A7A.4 </t>
  </si>
  <si>
    <t xml:space="preserve">Y76A2B.4 </t>
  </si>
  <si>
    <t>F26F12.3</t>
  </si>
  <si>
    <t>H28G03.2</t>
  </si>
  <si>
    <t>C23H5.8</t>
  </si>
  <si>
    <t xml:space="preserve">Y17G7B.8 </t>
  </si>
  <si>
    <t xml:space="preserve">T26F2.2 </t>
  </si>
  <si>
    <t>W02H3.1</t>
  </si>
  <si>
    <t xml:space="preserve">F13D12.3 </t>
  </si>
  <si>
    <t xml:space="preserve">ZK858.5 </t>
  </si>
  <si>
    <t xml:space="preserve">F34H10.3 </t>
  </si>
  <si>
    <t xml:space="preserve">F41B4.3 </t>
  </si>
  <si>
    <t>R03G5.5</t>
  </si>
  <si>
    <t xml:space="preserve">F56H9.2 </t>
  </si>
  <si>
    <t xml:space="preserve">R05D3.1 </t>
  </si>
  <si>
    <t xml:space="preserve">B0507.8 </t>
  </si>
  <si>
    <t xml:space="preserve">F47B8.2 </t>
  </si>
  <si>
    <t xml:space="preserve">F38B7.3 </t>
  </si>
  <si>
    <t>F10E9.12</t>
  </si>
  <si>
    <t xml:space="preserve">K02A2.1 </t>
  </si>
  <si>
    <t xml:space="preserve">F48G7.13 </t>
  </si>
  <si>
    <t xml:space="preserve">K02A2.5 </t>
  </si>
  <si>
    <t xml:space="preserve">F11D11.3 </t>
  </si>
  <si>
    <t xml:space="preserve">K11D2.1 </t>
  </si>
  <si>
    <t xml:space="preserve">R53.5 </t>
  </si>
  <si>
    <t>ZK355.2</t>
  </si>
  <si>
    <t xml:space="preserve">R01H10.5 </t>
  </si>
  <si>
    <t xml:space="preserve">W03D2.6 </t>
  </si>
  <si>
    <t xml:space="preserve">B0281.3 </t>
  </si>
  <si>
    <t xml:space="preserve">C07D10.5 </t>
  </si>
  <si>
    <t xml:space="preserve">F58H7.8 </t>
  </si>
  <si>
    <t xml:space="preserve">haf-3 </t>
  </si>
  <si>
    <t>ABC transporter family</t>
  </si>
  <si>
    <t>W01D2.2</t>
  </si>
  <si>
    <t xml:space="preserve">F16B4.9 </t>
  </si>
  <si>
    <t xml:space="preserve">nhr-178 </t>
  </si>
  <si>
    <t>nhr-65</t>
  </si>
  <si>
    <t xml:space="preserve">F25B4.7 </t>
  </si>
  <si>
    <t xml:space="preserve">W02B12.9 </t>
  </si>
  <si>
    <t>Mitochondrial carrier protein MRS3/4</t>
  </si>
  <si>
    <t xml:space="preserve">T09F3.2 </t>
  </si>
  <si>
    <t xml:space="preserve">F15D3.7 </t>
  </si>
  <si>
    <t>Mitochondrial import inner membrane translocase, subunit TIM23</t>
  </si>
  <si>
    <t xml:space="preserve">E04A4.5 </t>
  </si>
  <si>
    <t xml:space="preserve">C49G7.5 </t>
  </si>
  <si>
    <t xml:space="preserve">C49385 </t>
  </si>
  <si>
    <t xml:space="preserve">C50F4.1 </t>
  </si>
  <si>
    <t>M60.4</t>
  </si>
  <si>
    <t>ZK228.4</t>
  </si>
  <si>
    <t xml:space="preserve">C49G7.10 </t>
  </si>
  <si>
    <t xml:space="preserve">F22H10.2 </t>
  </si>
  <si>
    <t xml:space="preserve">W01F3.2 </t>
  </si>
  <si>
    <t>C34C6.7</t>
  </si>
  <si>
    <t xml:space="preserve">C10C5.2 </t>
  </si>
  <si>
    <t xml:space="preserve">F15D4.5 </t>
  </si>
  <si>
    <t>Y34F4.1</t>
  </si>
  <si>
    <t xml:space="preserve">C32F10.4 </t>
  </si>
  <si>
    <t xml:space="preserve">F42C5.6 </t>
  </si>
  <si>
    <t xml:space="preserve">C54F6.5 </t>
  </si>
  <si>
    <t xml:space="preserve">K08D8.6 </t>
  </si>
  <si>
    <t xml:space="preserve">Y58A7A.3 </t>
  </si>
  <si>
    <t xml:space="preserve">C34H4.2 </t>
  </si>
  <si>
    <t>C01B10.6</t>
  </si>
  <si>
    <t xml:space="preserve">K06G5.3 </t>
  </si>
  <si>
    <t xml:space="preserve">ZK896.2 </t>
  </si>
  <si>
    <t>C35A5.6</t>
  </si>
  <si>
    <t xml:space="preserve">C17H1.7 </t>
  </si>
  <si>
    <t xml:space="preserve">ldh-1 </t>
  </si>
  <si>
    <t xml:space="preserve">F13D12.2 </t>
  </si>
  <si>
    <t>Glyceraldehyde 3 Phosphate dehydrogenase</t>
  </si>
  <si>
    <t>Soluble epoxide hydrolase</t>
  </si>
  <si>
    <t xml:space="preserve">ceeh-1 </t>
  </si>
  <si>
    <t xml:space="preserve">K02F3.6 </t>
  </si>
  <si>
    <t xml:space="preserve">fbxa-92 </t>
  </si>
  <si>
    <t>F-box proteins</t>
  </si>
  <si>
    <t xml:space="preserve">mfb-1 </t>
  </si>
  <si>
    <t xml:space="preserve">DY3.6 </t>
  </si>
  <si>
    <t xml:space="preserve">F15B9.10 </t>
  </si>
  <si>
    <t xml:space="preserve">C44B12.6 </t>
  </si>
  <si>
    <t xml:space="preserve">Y47G7B.2 </t>
  </si>
  <si>
    <t xml:space="preserve">Y43C5A.3 </t>
  </si>
  <si>
    <t xml:space="preserve">C50F4.9 </t>
  </si>
  <si>
    <t>Y34F4.2</t>
  </si>
  <si>
    <t>Y95B8A.6</t>
  </si>
  <si>
    <t>F23H12.3</t>
  </si>
  <si>
    <t xml:space="preserve">F16D3.6 </t>
  </si>
  <si>
    <t xml:space="preserve">D1086.1 </t>
  </si>
  <si>
    <t xml:space="preserve">F14F8.8 </t>
  </si>
  <si>
    <t xml:space="preserve">F22B3.7 </t>
  </si>
  <si>
    <t xml:space="preserve">F55G11.7 </t>
  </si>
  <si>
    <t xml:space="preserve">C02C2.4 </t>
  </si>
  <si>
    <t xml:space="preserve">C07G1.7 </t>
  </si>
  <si>
    <t xml:space="preserve">K10D11.2 </t>
  </si>
  <si>
    <t xml:space="preserve">C54F6.6 </t>
  </si>
  <si>
    <t xml:space="preserve">F10E9.12 </t>
  </si>
  <si>
    <t xml:space="preserve">ZK970.7 </t>
  </si>
  <si>
    <t xml:space="preserve">F41C3.1 </t>
  </si>
  <si>
    <t xml:space="preserve">Y105C5B.14 </t>
  </si>
  <si>
    <t xml:space="preserve">Y58A7A.5 </t>
  </si>
  <si>
    <t xml:space="preserve">C03H5.1 </t>
  </si>
  <si>
    <t xml:space="preserve">clec-10 </t>
  </si>
  <si>
    <t xml:space="preserve">F31D4.4 </t>
  </si>
  <si>
    <t xml:space="preserve">clec-264 </t>
  </si>
  <si>
    <t>C-type LECtin</t>
  </si>
  <si>
    <t xml:space="preserve">T09F5.9 </t>
  </si>
  <si>
    <t xml:space="preserve">clec-47 </t>
  </si>
  <si>
    <t>C41G7.9</t>
  </si>
  <si>
    <t xml:space="preserve">VB0393L.2 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</si>
</sst>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0"/>
      <name val="Verdana"/>
    </font>
    <font>
      <sz val="8"/>
      <name val="Verdana"/>
    </font>
    <font>
      <u/>
      <sz val="10"/>
      <color indexed="12"/>
      <name val="Verdana"/>
      <family val="2"/>
    </font>
    <font>
      <b/>
      <sz val="12"/>
      <name val="Arial"/>
    </font>
    <font>
      <b/>
      <sz val="12"/>
      <color indexed="9"/>
      <name val="Arial"/>
    </font>
    <font>
      <sz val="12"/>
      <name val="Arial"/>
    </font>
    <font>
      <b/>
      <i/>
      <sz val="12"/>
      <name val="Arial"/>
    </font>
    <font>
      <sz val="12"/>
      <color indexed="9"/>
      <name val="Arial"/>
    </font>
    <font>
      <sz val="12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3" fillId="0" borderId="0" xfId="0" applyFont="1"/>
    <xf numFmtId="0" fontId="3" fillId="0" borderId="0" xfId="0" applyNumberFormat="1" applyFont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NumberFormat="1" applyFont="1" applyAlignment="1">
      <alignment wrapText="1"/>
    </xf>
    <xf numFmtId="0" fontId="7" fillId="0" borderId="0" xfId="0" applyFont="1"/>
    <xf numFmtId="0" fontId="8" fillId="0" borderId="0" xfId="1" applyFont="1" applyAlignment="1" applyProtection="1"/>
    <xf numFmtId="0" fontId="8" fillId="0" borderId="0" xfId="1" applyFont="1" applyAlignment="1" applyProtection="1">
      <alignment wrapText="1"/>
    </xf>
    <xf numFmtId="0" fontId="8" fillId="0" borderId="0" xfId="1" applyNumberFormat="1" applyFont="1" applyAlignment="1" applyProtection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://www.wormbase.org/db/gene/gene_class?name=ncx;class=Gene_class" TargetMode="External"/><Relationship Id="rId7" Type="http://schemas.openxmlformats.org/officeDocument/2006/relationships/hyperlink" Target="http://caltech.wormbase.org/db/gene/gene_class?name=acl;class=Gene_class" TargetMode="External"/><Relationship Id="rId11" Type="http://schemas.openxmlformats.org/officeDocument/2006/relationships/hyperlink" Target="http://www.wormbase.org/db/gene/gene_class?name=spp;class=Gene_class" TargetMode="External"/><Relationship Id="rId1" Type="http://schemas.openxmlformats.org/officeDocument/2006/relationships/hyperlink" Target="http://www.wormbase.org/db/gene/gene_class?name=cyp;class=Gene_class" TargetMode="External"/><Relationship Id="rId6" Type="http://schemas.openxmlformats.org/officeDocument/2006/relationships/hyperlink" Target="http://caltech.wormbase.org/db/gene/gene_class?name=fbxa;class=Gene_class" TargetMode="External"/><Relationship Id="rId8" Type="http://schemas.openxmlformats.org/officeDocument/2006/relationships/hyperlink" Target="http://caltech.wormbase.org/db/seq/sequence?name=C23H3.4;class=Gene_name" TargetMode="External"/><Relationship Id="rId13" Type="http://schemas.openxmlformats.org/officeDocument/2006/relationships/hyperlink" Target="http://caltech.wormbase.org/db/gene/gene_class?name=cil;class=Gene_class" TargetMode="External"/><Relationship Id="rId10" Type="http://schemas.openxmlformats.org/officeDocument/2006/relationships/hyperlink" Target="http://caltech.wormbase.org/db/gene/gene_class?name=pcs;class=Gene_class" TargetMode="External"/><Relationship Id="rId5" Type="http://schemas.openxmlformats.org/officeDocument/2006/relationships/hyperlink" Target="http://caltech.wormbase.org/db/gene/gene_class?name=fbxa;class=Gene_class" TargetMode="External"/><Relationship Id="rId12" Type="http://schemas.openxmlformats.org/officeDocument/2006/relationships/hyperlink" Target="http://www.wormbase.org/db/gene/gene_class?name=snb;class=Gene_class" TargetMode="External"/><Relationship Id="rId2" Type="http://schemas.openxmlformats.org/officeDocument/2006/relationships/hyperlink" Target="http://www.wormbase.org/db/gene/gene_class?name=cyp;class=Gene_class" TargetMode="External"/><Relationship Id="rId9" Type="http://schemas.openxmlformats.org/officeDocument/2006/relationships/hyperlink" Target="http://www.wormbase.org/db/gene/gene_class?name=oac;class=Gene_class" TargetMode="External"/><Relationship Id="rId3" Type="http://schemas.openxmlformats.org/officeDocument/2006/relationships/hyperlink" Target="http://www.wormbase.org/db/gene/gene_class?name=clec;class=Gene_cla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I430"/>
  <sheetViews>
    <sheetView tabSelected="1" workbookViewId="0"/>
  </sheetViews>
  <sheetFormatPr baseColWidth="10" defaultRowHeight="15"/>
  <cols>
    <col min="1" max="1" width="16" style="4" customWidth="1"/>
    <col min="2" max="2" width="14" style="4" customWidth="1"/>
    <col min="3" max="3" width="49.85546875" style="4" customWidth="1"/>
    <col min="4" max="4" width="19.140625" style="12" customWidth="1"/>
    <col min="5" max="5" width="19.42578125" style="12" customWidth="1"/>
    <col min="6" max="6" width="19.5703125" style="12" customWidth="1"/>
    <col min="7" max="7" width="0.28515625" style="4" customWidth="1"/>
    <col min="8" max="8" width="18.140625" style="12" customWidth="1"/>
    <col min="9" max="16384" width="10.7109375" style="4"/>
  </cols>
  <sheetData>
    <row r="1" spans="1:8">
      <c r="A1" s="1" t="s">
        <v>16</v>
      </c>
    </row>
    <row r="2" spans="1:8">
      <c r="A2" s="1"/>
    </row>
    <row r="3" spans="1:8">
      <c r="A3" s="1"/>
      <c r="D3" s="13" t="s">
        <v>74</v>
      </c>
      <c r="E3" s="13" t="s">
        <v>74</v>
      </c>
      <c r="F3" s="13" t="s">
        <v>78</v>
      </c>
    </row>
    <row r="4" spans="1:8">
      <c r="D4" s="13" t="s">
        <v>76</v>
      </c>
      <c r="E4" s="14" t="s">
        <v>77</v>
      </c>
      <c r="H4" s="13" t="s">
        <v>0</v>
      </c>
    </row>
    <row r="5" spans="1:8">
      <c r="A5" s="1" t="s">
        <v>49</v>
      </c>
      <c r="B5" s="1" t="s">
        <v>375</v>
      </c>
      <c r="C5" s="2" t="s">
        <v>50</v>
      </c>
      <c r="D5" s="14" t="s">
        <v>75</v>
      </c>
      <c r="E5" s="14" t="s">
        <v>75</v>
      </c>
      <c r="F5" s="13" t="s">
        <v>79</v>
      </c>
      <c r="G5" s="3"/>
      <c r="H5" s="13" t="s">
        <v>80</v>
      </c>
    </row>
    <row r="7" spans="1:8">
      <c r="A7" s="5" t="s">
        <v>44</v>
      </c>
    </row>
    <row r="8" spans="1:8">
      <c r="A8" s="4" t="s">
        <v>385</v>
      </c>
      <c r="B8" s="4" t="s">
        <v>386</v>
      </c>
      <c r="C8" s="6" t="s">
        <v>596</v>
      </c>
      <c r="D8" s="12">
        <v>2.8658600000000001</v>
      </c>
      <c r="E8" s="12">
        <v>1.27112</v>
      </c>
      <c r="F8" s="12">
        <f>D8/E8</f>
        <v>2.25459437346592</v>
      </c>
      <c r="G8" s="7">
        <f t="shared" ref="G8:G25" si="0">E8*100/D8</f>
        <v>44.353876323337502</v>
      </c>
      <c r="H8" s="12">
        <f t="shared" ref="H8:H25" si="1">100-G8</f>
        <v>55.646123676662498</v>
      </c>
    </row>
    <row r="9" spans="1:8" ht="14" customHeight="1">
      <c r="A9" s="4" t="s">
        <v>373</v>
      </c>
      <c r="B9" s="4" t="s">
        <v>374</v>
      </c>
      <c r="C9" s="6" t="s">
        <v>152</v>
      </c>
      <c r="D9" s="12">
        <v>22.1524</v>
      </c>
      <c r="E9" s="12">
        <v>6.2772300000000003</v>
      </c>
      <c r="F9" s="12">
        <f>D9/E9</f>
        <v>3.5290088143974332</v>
      </c>
      <c r="G9" s="7">
        <f t="shared" si="0"/>
        <v>28.336568498221414</v>
      </c>
      <c r="H9" s="12">
        <f t="shared" si="1"/>
        <v>71.663431501778589</v>
      </c>
    </row>
    <row r="10" spans="1:8">
      <c r="A10" s="4" t="s">
        <v>387</v>
      </c>
      <c r="B10" s="4" t="s">
        <v>388</v>
      </c>
      <c r="C10" s="6" t="s">
        <v>389</v>
      </c>
      <c r="D10" s="12">
        <v>2.2532199999999998</v>
      </c>
      <c r="E10" s="12">
        <v>1.13365</v>
      </c>
      <c r="F10" s="12">
        <f>D10/E10</f>
        <v>1.9875799408988661</v>
      </c>
      <c r="G10" s="7">
        <f t="shared" si="0"/>
        <v>50.31244175002886</v>
      </c>
      <c r="H10" s="12">
        <f t="shared" si="1"/>
        <v>49.68755824997114</v>
      </c>
    </row>
    <row r="11" spans="1:8">
      <c r="A11" s="4" t="s">
        <v>249</v>
      </c>
      <c r="B11" s="4" t="s">
        <v>250</v>
      </c>
      <c r="C11" s="6" t="s">
        <v>251</v>
      </c>
      <c r="D11" s="12">
        <v>2.6881200000000001</v>
      </c>
      <c r="E11" s="12">
        <v>1.90221</v>
      </c>
      <c r="F11" s="12">
        <f>D11/E11</f>
        <v>1.4131562761209331</v>
      </c>
      <c r="G11" s="7">
        <f t="shared" si="0"/>
        <v>70.763581982947187</v>
      </c>
      <c r="H11" s="12">
        <f t="shared" si="1"/>
        <v>29.236418017052813</v>
      </c>
    </row>
    <row r="12" spans="1:8">
      <c r="A12" s="4" t="s">
        <v>129</v>
      </c>
      <c r="C12" s="6" t="s">
        <v>130</v>
      </c>
      <c r="D12" s="12">
        <v>2.24403</v>
      </c>
      <c r="E12" s="12">
        <v>1.6727399999999999</v>
      </c>
      <c r="F12" s="12">
        <f>D12/E12</f>
        <v>1.3415294666236235</v>
      </c>
      <c r="G12" s="7">
        <f>E12*100/D12</f>
        <v>74.54178420074598</v>
      </c>
      <c r="H12" s="12">
        <f t="shared" si="1"/>
        <v>25.45821579925402</v>
      </c>
    </row>
    <row r="13" spans="1:8">
      <c r="A13" s="4" t="s">
        <v>252</v>
      </c>
      <c r="B13" s="4" t="s">
        <v>17</v>
      </c>
      <c r="C13" s="6" t="s">
        <v>253</v>
      </c>
      <c r="D13" s="12">
        <v>1.9533799999999999</v>
      </c>
      <c r="E13" s="12">
        <v>-1.0173000000000001</v>
      </c>
      <c r="F13" s="12">
        <f>D13/-E13</f>
        <v>1.9201612110488546</v>
      </c>
      <c r="G13" s="7">
        <f t="shared" si="0"/>
        <v>-52.078960570907867</v>
      </c>
      <c r="H13" s="12">
        <f t="shared" si="1"/>
        <v>152.07896057090787</v>
      </c>
    </row>
    <row r="14" spans="1:8" ht="13" customHeight="1">
      <c r="A14" s="4" t="s">
        <v>255</v>
      </c>
      <c r="B14" s="4" t="s">
        <v>256</v>
      </c>
      <c r="C14" s="6" t="s">
        <v>257</v>
      </c>
      <c r="D14" s="12">
        <v>3.32158</v>
      </c>
      <c r="E14" s="12">
        <v>1.8075399999999999</v>
      </c>
      <c r="F14" s="12">
        <f t="shared" ref="F14:F25" si="2">D14/E14</f>
        <v>1.837624616882614</v>
      </c>
      <c r="G14" s="7">
        <f t="shared" si="0"/>
        <v>54.418078143534096</v>
      </c>
      <c r="H14" s="12">
        <f t="shared" si="1"/>
        <v>45.581921856465904</v>
      </c>
    </row>
    <row r="15" spans="1:8" ht="13" customHeight="1">
      <c r="A15" s="4" t="s">
        <v>254</v>
      </c>
      <c r="C15" s="4" t="s">
        <v>253</v>
      </c>
      <c r="D15" s="12">
        <v>4.8658000000000001</v>
      </c>
      <c r="E15" s="12">
        <v>2.6023499999999999</v>
      </c>
      <c r="F15" s="12">
        <f t="shared" si="2"/>
        <v>1.8697715526351184</v>
      </c>
      <c r="G15" s="7">
        <f t="shared" si="0"/>
        <v>53.482469480866456</v>
      </c>
      <c r="H15" s="12">
        <f t="shared" si="1"/>
        <v>46.517530519133544</v>
      </c>
    </row>
    <row r="16" spans="1:8">
      <c r="A16" s="4" t="s">
        <v>413</v>
      </c>
      <c r="C16" s="6" t="s">
        <v>414</v>
      </c>
      <c r="D16" s="12">
        <v>4.6864100000000004</v>
      </c>
      <c r="E16" s="12">
        <v>2.1431200000000001</v>
      </c>
      <c r="F16" s="12">
        <f t="shared" si="2"/>
        <v>2.1867230953003101</v>
      </c>
      <c r="G16" s="7">
        <f t="shared" si="0"/>
        <v>45.730527205259463</v>
      </c>
      <c r="H16" s="12">
        <f t="shared" si="1"/>
        <v>54.269472794740537</v>
      </c>
    </row>
    <row r="17" spans="1:8">
      <c r="A17" s="4" t="s">
        <v>415</v>
      </c>
      <c r="C17" s="4" t="s">
        <v>414</v>
      </c>
      <c r="D17" s="12">
        <v>3.8470800000000001</v>
      </c>
      <c r="E17" s="12">
        <v>2.0154100000000001</v>
      </c>
      <c r="F17" s="12">
        <f t="shared" si="2"/>
        <v>1.9088324460035426</v>
      </c>
      <c r="G17" s="7">
        <f t="shared" si="0"/>
        <v>52.388044958773932</v>
      </c>
      <c r="H17" s="12">
        <f t="shared" si="1"/>
        <v>47.611955041226068</v>
      </c>
    </row>
    <row r="18" spans="1:8">
      <c r="A18" s="4" t="s">
        <v>416</v>
      </c>
      <c r="C18" s="6" t="s">
        <v>622</v>
      </c>
      <c r="D18" s="12">
        <v>2.83203</v>
      </c>
      <c r="E18" s="12">
        <v>1.8269899999999999</v>
      </c>
      <c r="F18" s="12">
        <f t="shared" si="2"/>
        <v>1.550107006606495</v>
      </c>
      <c r="G18" s="7">
        <f t="shared" si="0"/>
        <v>64.511675370670503</v>
      </c>
      <c r="H18" s="12">
        <f t="shared" si="1"/>
        <v>35.488324629329497</v>
      </c>
    </row>
    <row r="19" spans="1:8">
      <c r="A19" s="4" t="s">
        <v>623</v>
      </c>
      <c r="B19" s="4" t="s">
        <v>624</v>
      </c>
      <c r="C19" s="6" t="s">
        <v>18</v>
      </c>
      <c r="D19" s="12">
        <v>2.3833899999999999</v>
      </c>
      <c r="E19" s="12">
        <v>1.64537</v>
      </c>
      <c r="F19" s="12">
        <f t="shared" si="2"/>
        <v>1.4485434886985906</v>
      </c>
      <c r="G19" s="7">
        <f t="shared" si="0"/>
        <v>69.034862108173655</v>
      </c>
      <c r="H19" s="12">
        <f t="shared" si="1"/>
        <v>30.965137891826345</v>
      </c>
    </row>
    <row r="20" spans="1:8">
      <c r="A20" s="4" t="s">
        <v>258</v>
      </c>
      <c r="B20" s="4" t="s">
        <v>259</v>
      </c>
      <c r="C20" s="4" t="s">
        <v>260</v>
      </c>
      <c r="D20" s="12">
        <v>4.0440399999999999</v>
      </c>
      <c r="E20" s="12">
        <v>1.2079200000000001</v>
      </c>
      <c r="F20" s="12">
        <f t="shared" si="2"/>
        <v>3.3479369494668516</v>
      </c>
      <c r="G20" s="7">
        <f t="shared" si="0"/>
        <v>29.869140760229875</v>
      </c>
      <c r="H20" s="12">
        <f t="shared" si="1"/>
        <v>70.130859239770132</v>
      </c>
    </row>
    <row r="21" spans="1:8">
      <c r="A21" s="4" t="s">
        <v>261</v>
      </c>
      <c r="B21" s="4" t="s">
        <v>262</v>
      </c>
      <c r="C21" s="4" t="s">
        <v>260</v>
      </c>
      <c r="D21" s="12">
        <v>26.769100000000002</v>
      </c>
      <c r="E21" s="12">
        <v>10.2079</v>
      </c>
      <c r="F21" s="12">
        <f t="shared" si="2"/>
        <v>2.6223905014743485</v>
      </c>
      <c r="G21" s="7">
        <f t="shared" si="0"/>
        <v>38.133146052724967</v>
      </c>
      <c r="H21" s="12">
        <f t="shared" si="1"/>
        <v>61.866853947275033</v>
      </c>
    </row>
    <row r="22" spans="1:8">
      <c r="A22" s="4" t="s">
        <v>263</v>
      </c>
      <c r="B22" s="4" t="s">
        <v>449</v>
      </c>
      <c r="C22" s="6" t="s">
        <v>450</v>
      </c>
      <c r="D22" s="12">
        <v>25.408300000000001</v>
      </c>
      <c r="E22" s="12">
        <v>10.093400000000001</v>
      </c>
      <c r="F22" s="12">
        <f t="shared" si="2"/>
        <v>2.5173182475677174</v>
      </c>
      <c r="G22" s="7">
        <f t="shared" si="0"/>
        <v>39.724814332324478</v>
      </c>
      <c r="H22" s="12">
        <f t="shared" si="1"/>
        <v>60.275185667675522</v>
      </c>
    </row>
    <row r="23" spans="1:8">
      <c r="A23" s="4" t="s">
        <v>451</v>
      </c>
      <c r="B23" s="4" t="s">
        <v>452</v>
      </c>
      <c r="C23" s="4" t="s">
        <v>260</v>
      </c>
      <c r="D23" s="12">
        <v>11.156700000000001</v>
      </c>
      <c r="E23" s="12">
        <v>4.6480899999999998</v>
      </c>
      <c r="F23" s="12">
        <f t="shared" si="2"/>
        <v>2.4002762424996078</v>
      </c>
      <c r="G23" s="7">
        <f t="shared" si="0"/>
        <v>41.661871341884243</v>
      </c>
      <c r="H23" s="12">
        <f t="shared" si="1"/>
        <v>58.338128658115757</v>
      </c>
    </row>
    <row r="24" spans="1:8">
      <c r="A24" s="4" t="s">
        <v>453</v>
      </c>
      <c r="B24" s="4" t="s">
        <v>454</v>
      </c>
      <c r="C24" s="4" t="s">
        <v>260</v>
      </c>
      <c r="D24" s="12">
        <v>9.4642700000000008</v>
      </c>
      <c r="E24" s="12">
        <v>4.5738799999999999</v>
      </c>
      <c r="F24" s="12">
        <f t="shared" si="2"/>
        <v>2.0691994542926357</v>
      </c>
      <c r="G24" s="7">
        <f t="shared" si="0"/>
        <v>48.327868921744617</v>
      </c>
      <c r="H24" s="12">
        <f t="shared" si="1"/>
        <v>51.672131078255383</v>
      </c>
    </row>
    <row r="25" spans="1:8">
      <c r="A25" s="4" t="s">
        <v>455</v>
      </c>
      <c r="B25" s="4" t="s">
        <v>456</v>
      </c>
      <c r="C25" s="6" t="s">
        <v>19</v>
      </c>
      <c r="D25" s="12">
        <v>4.8819999999999997</v>
      </c>
      <c r="E25" s="12">
        <v>2.8929</v>
      </c>
      <c r="F25" s="12">
        <f t="shared" si="2"/>
        <v>1.6875799370873517</v>
      </c>
      <c r="G25" s="7">
        <f t="shared" si="0"/>
        <v>59.256452273658347</v>
      </c>
      <c r="H25" s="12">
        <f t="shared" si="1"/>
        <v>40.743547726341653</v>
      </c>
    </row>
    <row r="26" spans="1:8">
      <c r="A26" s="4" t="s">
        <v>457</v>
      </c>
      <c r="B26" s="4" t="s">
        <v>408</v>
      </c>
      <c r="C26" s="6" t="s">
        <v>260</v>
      </c>
      <c r="D26" s="12">
        <v>2.2603300000000002</v>
      </c>
      <c r="E26" s="12">
        <v>1.43381</v>
      </c>
      <c r="F26" s="12">
        <v>1.576450157273279</v>
      </c>
      <c r="G26" s="7">
        <v>63.433657917206773</v>
      </c>
      <c r="H26" s="12">
        <v>36.566342082793227</v>
      </c>
    </row>
    <row r="27" spans="1:8">
      <c r="A27" s="4" t="s">
        <v>409</v>
      </c>
      <c r="B27" s="4" t="s">
        <v>410</v>
      </c>
      <c r="C27" s="6" t="s">
        <v>450</v>
      </c>
      <c r="D27" s="12">
        <v>8.9773999999999994</v>
      </c>
      <c r="E27" s="12">
        <v>5.7448699999999997</v>
      </c>
      <c r="F27" s="12">
        <v>1.5626811398691354</v>
      </c>
      <c r="G27" s="7">
        <v>63.992581370998288</v>
      </c>
      <c r="H27" s="12">
        <v>36.007418629001712</v>
      </c>
    </row>
    <row r="28" spans="1:8">
      <c r="A28" s="6" t="s">
        <v>411</v>
      </c>
      <c r="B28" s="4" t="s">
        <v>412</v>
      </c>
      <c r="C28" s="6" t="s">
        <v>450</v>
      </c>
      <c r="D28" s="12">
        <v>5.1744899999999996</v>
      </c>
      <c r="E28" s="12">
        <v>3.6103499999999999</v>
      </c>
      <c r="F28" s="12">
        <f t="shared" ref="F28:F45" si="3">D28/E28</f>
        <v>1.4332377747309817</v>
      </c>
      <c r="G28" s="7">
        <f t="shared" ref="G28:G48" si="4">E28*100/D28</f>
        <v>69.77209348167645</v>
      </c>
      <c r="H28" s="12">
        <f t="shared" ref="H28:H48" si="5">100-G28</f>
        <v>30.22790651832355</v>
      </c>
    </row>
    <row r="29" spans="1:8">
      <c r="A29" s="4" t="s">
        <v>625</v>
      </c>
      <c r="B29" s="4" t="s">
        <v>626</v>
      </c>
      <c r="C29" s="4" t="s">
        <v>422</v>
      </c>
      <c r="D29" s="12">
        <v>16.834099999999999</v>
      </c>
      <c r="E29" s="12">
        <v>4.9769899999999998</v>
      </c>
      <c r="F29" s="12">
        <f t="shared" si="3"/>
        <v>3.3823857391716681</v>
      </c>
      <c r="G29" s="7">
        <f t="shared" si="4"/>
        <v>29.564930706126255</v>
      </c>
      <c r="H29" s="12">
        <f t="shared" si="5"/>
        <v>70.435069293873738</v>
      </c>
    </row>
    <row r="30" spans="1:8">
      <c r="A30" s="4" t="s">
        <v>423</v>
      </c>
      <c r="B30" s="4" t="s">
        <v>424</v>
      </c>
      <c r="C30" s="6" t="s">
        <v>425</v>
      </c>
      <c r="D30" s="12">
        <v>100.474</v>
      </c>
      <c r="E30" s="12">
        <v>4.3000699999999998</v>
      </c>
      <c r="F30" s="12">
        <f t="shared" si="3"/>
        <v>23.365666140318648</v>
      </c>
      <c r="G30" s="7">
        <f t="shared" si="4"/>
        <v>4.2797838246710587</v>
      </c>
      <c r="H30" s="12">
        <f t="shared" si="5"/>
        <v>95.720216175328943</v>
      </c>
    </row>
    <row r="31" spans="1:8">
      <c r="A31" s="4" t="s">
        <v>426</v>
      </c>
      <c r="B31" s="4" t="s">
        <v>427</v>
      </c>
      <c r="C31" s="6" t="s">
        <v>425</v>
      </c>
      <c r="D31" s="12">
        <v>23.8354</v>
      </c>
      <c r="E31" s="12">
        <v>4.5488999999999997</v>
      </c>
      <c r="F31" s="12">
        <f t="shared" si="3"/>
        <v>5.2398162193057667</v>
      </c>
      <c r="G31" s="7">
        <f t="shared" si="4"/>
        <v>19.084638814536362</v>
      </c>
      <c r="H31" s="12">
        <f t="shared" si="5"/>
        <v>80.915361185463638</v>
      </c>
    </row>
    <row r="32" spans="1:8">
      <c r="A32" s="4" t="s">
        <v>428</v>
      </c>
      <c r="B32" s="4" t="s">
        <v>429</v>
      </c>
      <c r="C32" s="4" t="s">
        <v>425</v>
      </c>
      <c r="D32" s="12">
        <v>52.7502</v>
      </c>
      <c r="E32" s="12">
        <v>13.496600000000001</v>
      </c>
      <c r="F32" s="12">
        <f t="shared" si="3"/>
        <v>3.9084065616525643</v>
      </c>
      <c r="G32" s="7">
        <f t="shared" si="4"/>
        <v>25.585874555925855</v>
      </c>
      <c r="H32" s="12">
        <f t="shared" si="5"/>
        <v>74.414125444074145</v>
      </c>
    </row>
    <row r="33" spans="1:8">
      <c r="A33" s="4" t="s">
        <v>430</v>
      </c>
      <c r="B33" s="4" t="s">
        <v>431</v>
      </c>
      <c r="C33" s="6" t="s">
        <v>432</v>
      </c>
      <c r="D33" s="12">
        <v>56.672400000000003</v>
      </c>
      <c r="E33" s="12">
        <v>17.3355</v>
      </c>
      <c r="F33" s="12">
        <f t="shared" si="3"/>
        <v>3.269152894349745</v>
      </c>
      <c r="G33" s="7">
        <f t="shared" si="4"/>
        <v>30.588963940118997</v>
      </c>
      <c r="H33" s="12">
        <f t="shared" si="5"/>
        <v>69.411036059880999</v>
      </c>
    </row>
    <row r="34" spans="1:8">
      <c r="A34" s="4" t="s">
        <v>302</v>
      </c>
      <c r="B34" s="4" t="s">
        <v>303</v>
      </c>
      <c r="C34" s="6" t="s">
        <v>432</v>
      </c>
      <c r="D34" s="12">
        <v>11.557</v>
      </c>
      <c r="E34" s="12">
        <v>3.9186399999999999</v>
      </c>
      <c r="F34" s="12">
        <f t="shared" si="3"/>
        <v>2.949237490557949</v>
      </c>
      <c r="G34" s="7">
        <f t="shared" si="4"/>
        <v>33.907069308644111</v>
      </c>
      <c r="H34" s="12">
        <f t="shared" si="5"/>
        <v>66.092930691355889</v>
      </c>
    </row>
    <row r="35" spans="1:8">
      <c r="A35" s="4" t="s">
        <v>304</v>
      </c>
      <c r="B35" s="4" t="s">
        <v>305</v>
      </c>
      <c r="C35" s="6" t="s">
        <v>425</v>
      </c>
      <c r="D35" s="12">
        <v>4.1963400000000002</v>
      </c>
      <c r="E35" s="12">
        <v>1.47746</v>
      </c>
      <c r="F35" s="12">
        <f t="shared" si="3"/>
        <v>2.840239329660363</v>
      </c>
      <c r="G35" s="7">
        <f t="shared" si="4"/>
        <v>35.208300566684301</v>
      </c>
      <c r="H35" s="12">
        <f t="shared" si="5"/>
        <v>64.791699433315699</v>
      </c>
    </row>
    <row r="36" spans="1:8">
      <c r="A36" s="4" t="s">
        <v>306</v>
      </c>
      <c r="B36" s="4" t="s">
        <v>307</v>
      </c>
      <c r="C36" s="6" t="s">
        <v>425</v>
      </c>
      <c r="D36" s="12">
        <v>3.0997599999999998</v>
      </c>
      <c r="E36" s="12">
        <v>1.2315400000000001</v>
      </c>
      <c r="F36" s="12">
        <f t="shared" si="3"/>
        <v>2.5169787420627827</v>
      </c>
      <c r="G36" s="7">
        <f t="shared" si="4"/>
        <v>39.73017265852841</v>
      </c>
      <c r="H36" s="12">
        <f t="shared" si="5"/>
        <v>60.26982734147159</v>
      </c>
    </row>
    <row r="37" spans="1:8">
      <c r="A37" s="4" t="s">
        <v>308</v>
      </c>
      <c r="B37" s="4" t="s">
        <v>309</v>
      </c>
      <c r="C37" s="8" t="s">
        <v>310</v>
      </c>
      <c r="D37" s="12">
        <v>2.8824100000000001</v>
      </c>
      <c r="E37" s="12">
        <v>1.19879</v>
      </c>
      <c r="F37" s="12">
        <f t="shared" si="3"/>
        <v>2.4044328030764355</v>
      </c>
      <c r="G37" s="7">
        <f t="shared" si="4"/>
        <v>41.589850160109073</v>
      </c>
      <c r="H37" s="12">
        <f t="shared" si="5"/>
        <v>58.410149839890927</v>
      </c>
    </row>
    <row r="38" spans="1:8">
      <c r="A38" s="4" t="s">
        <v>314</v>
      </c>
      <c r="B38" s="4" t="s">
        <v>315</v>
      </c>
      <c r="C38" s="9" t="s">
        <v>310</v>
      </c>
      <c r="D38" s="12">
        <v>35.689700000000002</v>
      </c>
      <c r="E38" s="12">
        <v>18.242999999999999</v>
      </c>
      <c r="F38" s="12">
        <f t="shared" si="3"/>
        <v>1.9563503809680427</v>
      </c>
      <c r="G38" s="7">
        <f t="shared" si="4"/>
        <v>51.115587970759066</v>
      </c>
      <c r="H38" s="12">
        <f t="shared" si="5"/>
        <v>48.884412029240934</v>
      </c>
    </row>
    <row r="39" spans="1:8">
      <c r="A39" s="4" t="s">
        <v>316</v>
      </c>
      <c r="B39" s="4" t="s">
        <v>317</v>
      </c>
      <c r="C39" s="6" t="s">
        <v>318</v>
      </c>
      <c r="D39" s="12">
        <v>13.604900000000001</v>
      </c>
      <c r="E39" s="12">
        <v>9.3461800000000004</v>
      </c>
      <c r="F39" s="12">
        <f t="shared" si="3"/>
        <v>1.4556642392934869</v>
      </c>
      <c r="G39" s="7">
        <f t="shared" si="4"/>
        <v>68.697160581849189</v>
      </c>
      <c r="H39" s="12">
        <f t="shared" si="5"/>
        <v>31.302839418150811</v>
      </c>
    </row>
    <row r="40" spans="1:8">
      <c r="A40" s="4" t="s">
        <v>319</v>
      </c>
      <c r="B40" s="4" t="s">
        <v>320</v>
      </c>
      <c r="C40" s="6" t="s">
        <v>318</v>
      </c>
      <c r="D40" s="12">
        <v>5.9269999999999996</v>
      </c>
      <c r="E40" s="12">
        <v>4.3150199999999996</v>
      </c>
      <c r="F40" s="12">
        <f t="shared" si="3"/>
        <v>1.3735741665160301</v>
      </c>
      <c r="G40" s="7">
        <f t="shared" si="4"/>
        <v>72.802766998481516</v>
      </c>
      <c r="H40" s="12">
        <f t="shared" si="5"/>
        <v>27.197233001518484</v>
      </c>
    </row>
    <row r="41" spans="1:8">
      <c r="A41" s="4" t="s">
        <v>321</v>
      </c>
      <c r="B41" s="4" t="s">
        <v>322</v>
      </c>
      <c r="C41" s="6" t="s">
        <v>310</v>
      </c>
      <c r="D41" s="12">
        <v>1.9934099999999999</v>
      </c>
      <c r="E41" s="12">
        <v>1.48767</v>
      </c>
      <c r="F41" s="12">
        <f t="shared" si="3"/>
        <v>1.3399544253765956</v>
      </c>
      <c r="G41" s="7">
        <f t="shared" si="4"/>
        <v>74.629403885803725</v>
      </c>
      <c r="H41" s="12">
        <f t="shared" si="5"/>
        <v>25.370596114196275</v>
      </c>
    </row>
    <row r="42" spans="1:8">
      <c r="A42" s="4" t="s">
        <v>311</v>
      </c>
      <c r="B42" s="4" t="s">
        <v>312</v>
      </c>
      <c r="C42" s="6" t="s">
        <v>313</v>
      </c>
      <c r="D42" s="12">
        <v>3.7519999999999998</v>
      </c>
      <c r="E42" s="12">
        <v>1.82545</v>
      </c>
      <c r="F42" s="12">
        <f t="shared" si="3"/>
        <v>2.0553836040428388</v>
      </c>
      <c r="G42" s="7">
        <f t="shared" si="4"/>
        <v>48.65271855010662</v>
      </c>
      <c r="H42" s="12">
        <f t="shared" si="5"/>
        <v>51.34728144989338</v>
      </c>
    </row>
    <row r="43" spans="1:8">
      <c r="A43" s="4" t="s">
        <v>323</v>
      </c>
      <c r="B43" s="4" t="s">
        <v>324</v>
      </c>
      <c r="C43" s="4" t="s">
        <v>325</v>
      </c>
      <c r="D43" s="12">
        <v>3.64757</v>
      </c>
      <c r="E43" s="12">
        <v>2.5050400000000002</v>
      </c>
      <c r="F43" s="12">
        <f t="shared" si="3"/>
        <v>1.4560925174847505</v>
      </c>
      <c r="G43" s="7">
        <f t="shared" si="4"/>
        <v>68.676954794561865</v>
      </c>
      <c r="H43" s="12">
        <f t="shared" si="5"/>
        <v>31.323045205438135</v>
      </c>
    </row>
    <row r="44" spans="1:8">
      <c r="A44" s="4" t="s">
        <v>364</v>
      </c>
      <c r="B44" s="4" t="s">
        <v>365</v>
      </c>
      <c r="C44" s="6" t="s">
        <v>366</v>
      </c>
      <c r="D44" s="12">
        <v>15.200100000000001</v>
      </c>
      <c r="E44" s="12">
        <v>4.88368</v>
      </c>
      <c r="F44" s="12">
        <f t="shared" si="3"/>
        <v>3.11242751367821</v>
      </c>
      <c r="G44" s="7">
        <f t="shared" si="4"/>
        <v>32.129262307484815</v>
      </c>
      <c r="H44" s="12">
        <f t="shared" si="5"/>
        <v>67.870737692515178</v>
      </c>
    </row>
    <row r="45" spans="1:8">
      <c r="A45" s="4" t="s">
        <v>367</v>
      </c>
      <c r="B45" s="4" t="s">
        <v>368</v>
      </c>
      <c r="C45" s="6" t="s">
        <v>369</v>
      </c>
      <c r="D45" s="12">
        <v>11.9017</v>
      </c>
      <c r="E45" s="12">
        <v>8.6570199999999993</v>
      </c>
      <c r="F45" s="12">
        <f t="shared" si="3"/>
        <v>1.374803338793257</v>
      </c>
      <c r="G45" s="7">
        <f t="shared" si="4"/>
        <v>72.737676130300699</v>
      </c>
      <c r="H45" s="12">
        <f t="shared" si="5"/>
        <v>27.262323869699301</v>
      </c>
    </row>
    <row r="46" spans="1:8">
      <c r="A46" s="4" t="s">
        <v>538</v>
      </c>
      <c r="C46" s="4" t="s">
        <v>539</v>
      </c>
      <c r="D46" s="12">
        <v>1.71515</v>
      </c>
      <c r="E46" s="12">
        <v>-1.0563800000000001</v>
      </c>
      <c r="F46" s="12">
        <f>D46/-E46</f>
        <v>1.6236108218633445</v>
      </c>
      <c r="G46" s="7">
        <f t="shared" si="4"/>
        <v>-61.591114479783116</v>
      </c>
      <c r="H46" s="12">
        <f t="shared" si="5"/>
        <v>161.59111447978313</v>
      </c>
    </row>
    <row r="47" spans="1:8">
      <c r="A47" s="4" t="s">
        <v>538</v>
      </c>
      <c r="C47" s="6" t="s">
        <v>539</v>
      </c>
      <c r="D47" s="12">
        <v>1.8261400000000001</v>
      </c>
      <c r="E47" s="12">
        <v>1.0864499999999999</v>
      </c>
      <c r="F47" s="12">
        <f>D47/E47</f>
        <v>1.6808320677435686</v>
      </c>
      <c r="G47" s="7">
        <f t="shared" si="4"/>
        <v>59.494343259552934</v>
      </c>
      <c r="H47" s="12">
        <f t="shared" si="5"/>
        <v>40.505656740447066</v>
      </c>
    </row>
    <row r="48" spans="1:8">
      <c r="A48" s="4" t="s">
        <v>550</v>
      </c>
      <c r="C48" s="6" t="s">
        <v>369</v>
      </c>
      <c r="D48" s="12">
        <v>23.157599999999999</v>
      </c>
      <c r="E48" s="12">
        <v>2.7295400000000001</v>
      </c>
      <c r="F48" s="12">
        <f>D48/E48</f>
        <v>8.4840669123735122</v>
      </c>
      <c r="G48" s="7">
        <f t="shared" si="4"/>
        <v>11.786800013818359</v>
      </c>
      <c r="H48" s="12">
        <f t="shared" si="5"/>
        <v>88.213199986181635</v>
      </c>
    </row>
    <row r="49" spans="1:8">
      <c r="A49" s="4" t="s">
        <v>236</v>
      </c>
      <c r="C49" s="4" t="s">
        <v>237</v>
      </c>
      <c r="D49" s="12">
        <v>1.86338</v>
      </c>
      <c r="E49" s="12">
        <v>1.2780400000000001</v>
      </c>
      <c r="F49" s="12">
        <v>1.4579981847203529</v>
      </c>
      <c r="G49" s="7">
        <v>68.587191018471799</v>
      </c>
      <c r="H49" s="12">
        <v>31.412808981528187</v>
      </c>
    </row>
    <row r="51" spans="1:8">
      <c r="A51" s="5" t="s">
        <v>20</v>
      </c>
    </row>
    <row r="52" spans="1:8">
      <c r="A52" s="4" t="s">
        <v>372</v>
      </c>
      <c r="B52" s="4" t="s">
        <v>371</v>
      </c>
      <c r="C52" s="6" t="s">
        <v>370</v>
      </c>
      <c r="D52" s="12">
        <v>10.456</v>
      </c>
      <c r="E52" s="12">
        <v>2.3307199999999999</v>
      </c>
      <c r="F52" s="12">
        <f t="shared" ref="F52:F60" si="6">D52/E52</f>
        <v>4.486167364591199</v>
      </c>
      <c r="G52" s="7">
        <f t="shared" ref="G52:G65" si="7">E52*100/D52</f>
        <v>22.290742157612854</v>
      </c>
      <c r="H52" s="12">
        <f t="shared" ref="H52:H65" si="8">100-G52</f>
        <v>77.709257842387146</v>
      </c>
    </row>
    <row r="53" spans="1:8">
      <c r="A53" s="4" t="s">
        <v>499</v>
      </c>
      <c r="B53" s="4" t="s">
        <v>500</v>
      </c>
      <c r="C53" s="4" t="s">
        <v>21</v>
      </c>
      <c r="D53" s="12">
        <v>4.5868900000000004</v>
      </c>
      <c r="E53" s="12">
        <v>1.5988100000000001</v>
      </c>
      <c r="F53" s="12">
        <f t="shared" si="6"/>
        <v>2.8689400241429563</v>
      </c>
      <c r="G53" s="7">
        <f t="shared" si="7"/>
        <v>34.856078955457832</v>
      </c>
      <c r="H53" s="12">
        <f t="shared" si="8"/>
        <v>65.143921044542168</v>
      </c>
    </row>
    <row r="54" spans="1:8">
      <c r="A54" s="4" t="s">
        <v>501</v>
      </c>
      <c r="B54" s="4" t="s">
        <v>502</v>
      </c>
      <c r="C54" s="4" t="s">
        <v>503</v>
      </c>
      <c r="D54" s="12">
        <v>4.8139399999999997</v>
      </c>
      <c r="E54" s="12">
        <v>2.8772500000000001</v>
      </c>
      <c r="F54" s="12">
        <f t="shared" si="6"/>
        <v>1.6731045268919973</v>
      </c>
      <c r="G54" s="7">
        <f t="shared" si="7"/>
        <v>59.769128821713615</v>
      </c>
      <c r="H54" s="12">
        <f t="shared" si="8"/>
        <v>40.230871178286385</v>
      </c>
    </row>
    <row r="55" spans="1:8">
      <c r="A55" s="4" t="s">
        <v>504</v>
      </c>
      <c r="B55" s="4" t="s">
        <v>505</v>
      </c>
      <c r="C55" s="4" t="s">
        <v>506</v>
      </c>
      <c r="D55" s="12">
        <v>3.6059600000000001</v>
      </c>
      <c r="E55" s="12">
        <v>2.0941800000000002</v>
      </c>
      <c r="F55" s="12">
        <f t="shared" si="6"/>
        <v>1.7218959210765072</v>
      </c>
      <c r="G55" s="7">
        <f t="shared" si="7"/>
        <v>58.075519417852668</v>
      </c>
      <c r="H55" s="12">
        <f t="shared" si="8"/>
        <v>41.924480582147332</v>
      </c>
    </row>
    <row r="56" spans="1:8">
      <c r="A56" s="4" t="s">
        <v>22</v>
      </c>
      <c r="B56" s="4" t="s">
        <v>507</v>
      </c>
      <c r="C56" s="4" t="s">
        <v>506</v>
      </c>
      <c r="D56" s="12">
        <v>3.8189799999999998</v>
      </c>
      <c r="E56" s="12">
        <v>2.4742299999999999</v>
      </c>
      <c r="F56" s="12">
        <f t="shared" si="6"/>
        <v>1.543502422976037</v>
      </c>
      <c r="G56" s="7">
        <f t="shared" si="7"/>
        <v>64.787718186531492</v>
      </c>
      <c r="H56" s="12">
        <f t="shared" si="8"/>
        <v>35.212281813468508</v>
      </c>
    </row>
    <row r="57" spans="1:8">
      <c r="A57" s="4" t="s">
        <v>23</v>
      </c>
      <c r="B57" s="4" t="s">
        <v>508</v>
      </c>
      <c r="C57" s="4" t="s">
        <v>509</v>
      </c>
      <c r="D57" s="12">
        <v>4.3659999999999997</v>
      </c>
      <c r="E57" s="12">
        <v>2.2558699999999998</v>
      </c>
      <c r="F57" s="12">
        <f t="shared" si="6"/>
        <v>1.9353952133766574</v>
      </c>
      <c r="G57" s="7">
        <f t="shared" si="7"/>
        <v>51.669033440219884</v>
      </c>
      <c r="H57" s="12">
        <f t="shared" si="8"/>
        <v>48.330966559780116</v>
      </c>
    </row>
    <row r="58" spans="1:8">
      <c r="A58" s="4" t="s">
        <v>513</v>
      </c>
      <c r="B58" s="4" t="s">
        <v>514</v>
      </c>
      <c r="C58" s="4" t="s">
        <v>515</v>
      </c>
      <c r="D58" s="12">
        <v>21.9148</v>
      </c>
      <c r="E58" s="12">
        <v>7.5812299999999997</v>
      </c>
      <c r="F58" s="12">
        <f t="shared" si="6"/>
        <v>2.890665498870236</v>
      </c>
      <c r="G58" s="7">
        <f t="shared" si="7"/>
        <v>34.594109916586049</v>
      </c>
      <c r="H58" s="12">
        <f t="shared" si="8"/>
        <v>65.405890083413951</v>
      </c>
    </row>
    <row r="59" spans="1:8">
      <c r="A59" s="4" t="s">
        <v>735</v>
      </c>
      <c r="B59" s="4" t="s">
        <v>736</v>
      </c>
      <c r="C59" s="6" t="s">
        <v>515</v>
      </c>
      <c r="D59" s="12">
        <v>3.4705599999999999</v>
      </c>
      <c r="E59" s="12">
        <v>1.82945</v>
      </c>
      <c r="F59" s="12">
        <f t="shared" si="6"/>
        <v>1.8970510262647242</v>
      </c>
      <c r="G59" s="7">
        <f t="shared" si="7"/>
        <v>52.713394956433547</v>
      </c>
      <c r="H59" s="12">
        <f t="shared" si="8"/>
        <v>47.286605043566453</v>
      </c>
    </row>
    <row r="60" spans="1:8">
      <c r="A60" s="4" t="s">
        <v>737</v>
      </c>
      <c r="B60" s="4" t="s">
        <v>738</v>
      </c>
      <c r="C60" s="10" t="s">
        <v>739</v>
      </c>
      <c r="D60" s="12">
        <v>1.8789899999999999</v>
      </c>
      <c r="E60" s="12">
        <v>1.24332</v>
      </c>
      <c r="F60" s="12">
        <f t="shared" si="6"/>
        <v>1.5112682173535372</v>
      </c>
      <c r="G60" s="7">
        <f t="shared" si="7"/>
        <v>66.169591110117665</v>
      </c>
      <c r="H60" s="12">
        <f t="shared" si="8"/>
        <v>33.830408889882335</v>
      </c>
    </row>
    <row r="61" spans="1:8">
      <c r="A61" s="4" t="s">
        <v>740</v>
      </c>
      <c r="B61" s="4" t="s">
        <v>741</v>
      </c>
      <c r="C61" s="6" t="s">
        <v>24</v>
      </c>
      <c r="D61" s="12">
        <v>5.57165</v>
      </c>
      <c r="E61" s="12">
        <v>-1.1210100000000001</v>
      </c>
      <c r="F61" s="12">
        <f>D61/-E61</f>
        <v>4.9702054397373798</v>
      </c>
      <c r="G61" s="7">
        <f t="shared" si="7"/>
        <v>-20.119892670932309</v>
      </c>
      <c r="H61" s="12">
        <f t="shared" si="8"/>
        <v>120.1198926709323</v>
      </c>
    </row>
    <row r="62" spans="1:8">
      <c r="A62" s="4" t="s">
        <v>558</v>
      </c>
      <c r="B62" s="4" t="s">
        <v>559</v>
      </c>
      <c r="C62" s="6" t="s">
        <v>24</v>
      </c>
      <c r="D62" s="12">
        <v>8.2516800000000003</v>
      </c>
      <c r="E62" s="12">
        <v>3.6606900000000002</v>
      </c>
      <c r="F62" s="12">
        <f>D62/E62</f>
        <v>2.2541324176589659</v>
      </c>
      <c r="G62" s="7">
        <f t="shared" si="7"/>
        <v>44.362966086905942</v>
      </c>
      <c r="H62" s="12">
        <f t="shared" si="8"/>
        <v>55.637033913094058</v>
      </c>
    </row>
    <row r="63" spans="1:8">
      <c r="A63" s="4" t="s">
        <v>560</v>
      </c>
      <c r="B63" s="4" t="s">
        <v>561</v>
      </c>
      <c r="C63" s="6" t="s">
        <v>562</v>
      </c>
      <c r="D63" s="12">
        <v>8.4077500000000001</v>
      </c>
      <c r="E63" s="12">
        <v>4.7570399999999999</v>
      </c>
      <c r="F63" s="12">
        <f>D63/E63</f>
        <v>1.7674331096648337</v>
      </c>
      <c r="G63" s="7">
        <f t="shared" si="7"/>
        <v>56.579227498438939</v>
      </c>
      <c r="H63" s="12">
        <f t="shared" si="8"/>
        <v>43.420772501561061</v>
      </c>
    </row>
    <row r="64" spans="1:8">
      <c r="A64" s="4" t="s">
        <v>563</v>
      </c>
      <c r="B64" s="4" t="s">
        <v>564</v>
      </c>
      <c r="C64" s="6" t="s">
        <v>562</v>
      </c>
      <c r="D64" s="12">
        <v>2.3096199999999998</v>
      </c>
      <c r="E64" s="12">
        <v>1.3276600000000001</v>
      </c>
      <c r="F64" s="12">
        <f>D64/E64</f>
        <v>1.739617070635554</v>
      </c>
      <c r="G64" s="7">
        <f t="shared" si="7"/>
        <v>57.483915102917379</v>
      </c>
      <c r="H64" s="12">
        <f t="shared" si="8"/>
        <v>42.516084897082621</v>
      </c>
    </row>
    <row r="65" spans="1:8">
      <c r="A65" s="4" t="s">
        <v>510</v>
      </c>
      <c r="B65" s="4" t="s">
        <v>511</v>
      </c>
      <c r="C65" s="6" t="s">
        <v>512</v>
      </c>
      <c r="D65" s="12">
        <v>2.2960799999999999</v>
      </c>
      <c r="E65" s="12">
        <v>1.41767</v>
      </c>
      <c r="F65" s="12">
        <f>D65/E65</f>
        <v>1.6196152842339895</v>
      </c>
      <c r="G65" s="7">
        <f t="shared" si="7"/>
        <v>61.743057733180031</v>
      </c>
      <c r="H65" s="12">
        <f t="shared" si="8"/>
        <v>38.256942266819969</v>
      </c>
    </row>
    <row r="67" spans="1:8">
      <c r="A67" s="5" t="s">
        <v>25</v>
      </c>
    </row>
    <row r="68" spans="1:8">
      <c r="A68" s="4" t="s">
        <v>565</v>
      </c>
      <c r="B68" s="4" t="s">
        <v>566</v>
      </c>
      <c r="C68" s="6" t="s">
        <v>567</v>
      </c>
      <c r="D68" s="12">
        <v>4.6409399999999996</v>
      </c>
      <c r="E68" s="12">
        <v>1.98445</v>
      </c>
      <c r="F68" s="12">
        <f t="shared" ref="F68:F89" si="9">D68/E68</f>
        <v>2.3386530272871573</v>
      </c>
      <c r="G68" s="7">
        <f t="shared" ref="G68:G89" si="10">E68*100/D68</f>
        <v>42.759656448909062</v>
      </c>
      <c r="H68" s="12">
        <f t="shared" ref="H68:H102" si="11">100-G68</f>
        <v>57.240343551090938</v>
      </c>
    </row>
    <row r="69" spans="1:8">
      <c r="A69" s="4" t="s">
        <v>568</v>
      </c>
      <c r="B69" s="4" t="s">
        <v>569</v>
      </c>
      <c r="C69" s="6" t="s">
        <v>567</v>
      </c>
      <c r="D69" s="12">
        <v>3.3010600000000001</v>
      </c>
      <c r="E69" s="12">
        <v>1.6556999999999999</v>
      </c>
      <c r="F69" s="12">
        <f t="shared" si="9"/>
        <v>1.9937549072899681</v>
      </c>
      <c r="G69" s="7">
        <f t="shared" si="10"/>
        <v>50.156616359593585</v>
      </c>
      <c r="H69" s="12">
        <f t="shared" si="11"/>
        <v>49.843383640406415</v>
      </c>
    </row>
    <row r="70" spans="1:8">
      <c r="A70" s="4" t="s">
        <v>570</v>
      </c>
      <c r="B70" s="4" t="s">
        <v>571</v>
      </c>
      <c r="C70" s="6" t="s">
        <v>567</v>
      </c>
      <c r="D70" s="12">
        <v>2.2715900000000002</v>
      </c>
      <c r="E70" s="12">
        <v>1.20198</v>
      </c>
      <c r="F70" s="12">
        <f t="shared" si="9"/>
        <v>1.8898733755969319</v>
      </c>
      <c r="G70" s="7">
        <f t="shared" si="10"/>
        <v>52.913597964421392</v>
      </c>
      <c r="H70" s="12">
        <f t="shared" si="11"/>
        <v>47.086402035578608</v>
      </c>
    </row>
    <row r="71" spans="1:8">
      <c r="A71" s="4" t="s">
        <v>572</v>
      </c>
      <c r="B71" s="4" t="s">
        <v>573</v>
      </c>
      <c r="C71" s="6" t="s">
        <v>26</v>
      </c>
      <c r="D71" s="12">
        <v>5.6682600000000001</v>
      </c>
      <c r="E71" s="12">
        <v>3.1103900000000002</v>
      </c>
      <c r="F71" s="12">
        <f t="shared" si="9"/>
        <v>1.822363112021322</v>
      </c>
      <c r="G71" s="7">
        <f t="shared" si="10"/>
        <v>54.873806070998867</v>
      </c>
      <c r="H71" s="12">
        <f t="shared" si="11"/>
        <v>45.126193929001133</v>
      </c>
    </row>
    <row r="72" spans="1:8">
      <c r="A72" s="4" t="s">
        <v>574</v>
      </c>
      <c r="B72" s="4" t="s">
        <v>574</v>
      </c>
      <c r="C72" s="6" t="s">
        <v>26</v>
      </c>
      <c r="D72" s="12">
        <v>7.5800200000000002</v>
      </c>
      <c r="E72" s="12">
        <v>4.5401699999999998</v>
      </c>
      <c r="F72" s="12">
        <f t="shared" si="9"/>
        <v>1.6695454134977326</v>
      </c>
      <c r="G72" s="7">
        <f t="shared" si="10"/>
        <v>59.896543808591531</v>
      </c>
      <c r="H72" s="12">
        <f t="shared" si="11"/>
        <v>40.103456191408469</v>
      </c>
    </row>
    <row r="73" spans="1:8">
      <c r="A73" s="4" t="s">
        <v>575</v>
      </c>
      <c r="B73" s="4" t="s">
        <v>576</v>
      </c>
      <c r="C73" s="6" t="s">
        <v>567</v>
      </c>
      <c r="D73" s="12">
        <v>2.7949199999999998</v>
      </c>
      <c r="E73" s="12">
        <v>1.7341800000000001</v>
      </c>
      <c r="F73" s="12">
        <f t="shared" si="9"/>
        <v>1.6116666090025256</v>
      </c>
      <c r="G73" s="7">
        <f t="shared" si="10"/>
        <v>62.04757202352841</v>
      </c>
      <c r="H73" s="12">
        <f t="shared" si="11"/>
        <v>37.95242797647159</v>
      </c>
    </row>
    <row r="74" spans="1:8">
      <c r="A74" s="4" t="s">
        <v>27</v>
      </c>
      <c r="B74" s="4" t="s">
        <v>577</v>
      </c>
      <c r="C74" s="6" t="s">
        <v>26</v>
      </c>
      <c r="D74" s="12">
        <v>3.9841000000000002</v>
      </c>
      <c r="E74" s="12">
        <v>2.5079799999999999</v>
      </c>
      <c r="F74" s="12">
        <f t="shared" si="9"/>
        <v>1.5885692868364183</v>
      </c>
      <c r="G74" s="7">
        <f t="shared" si="10"/>
        <v>62.949725157501064</v>
      </c>
      <c r="H74" s="12">
        <f t="shared" si="11"/>
        <v>37.050274842498936</v>
      </c>
    </row>
    <row r="75" spans="1:8">
      <c r="A75" s="4" t="s">
        <v>578</v>
      </c>
      <c r="B75" s="4" t="s">
        <v>579</v>
      </c>
      <c r="C75" s="6" t="s">
        <v>26</v>
      </c>
      <c r="D75" s="12">
        <v>3.1504400000000001</v>
      </c>
      <c r="E75" s="12">
        <v>2.07986</v>
      </c>
      <c r="F75" s="12">
        <f t="shared" si="9"/>
        <v>1.5147365688075158</v>
      </c>
      <c r="G75" s="7">
        <f t="shared" si="10"/>
        <v>66.018080014220232</v>
      </c>
      <c r="H75" s="12">
        <f t="shared" si="11"/>
        <v>33.981919985779768</v>
      </c>
    </row>
    <row r="76" spans="1:8">
      <c r="A76" s="4" t="s">
        <v>580</v>
      </c>
      <c r="B76" s="4" t="s">
        <v>581</v>
      </c>
      <c r="C76" s="6" t="s">
        <v>567</v>
      </c>
      <c r="D76" s="12">
        <v>2.1497299999999999</v>
      </c>
      <c r="E76" s="12">
        <v>1.43849</v>
      </c>
      <c r="F76" s="12">
        <f t="shared" si="9"/>
        <v>1.4944351368448858</v>
      </c>
      <c r="G76" s="7">
        <f t="shared" si="10"/>
        <v>66.914914896289318</v>
      </c>
      <c r="H76" s="12">
        <f t="shared" si="11"/>
        <v>33.085085103710682</v>
      </c>
    </row>
    <row r="77" spans="1:8">
      <c r="A77" s="4" t="s">
        <v>582</v>
      </c>
      <c r="B77" s="4" t="s">
        <v>583</v>
      </c>
      <c r="C77" s="6" t="s">
        <v>567</v>
      </c>
      <c r="D77" s="12">
        <v>1.8890899999999999</v>
      </c>
      <c r="E77" s="12">
        <v>1.31925</v>
      </c>
      <c r="F77" s="12">
        <f t="shared" si="9"/>
        <v>1.4319423915103278</v>
      </c>
      <c r="G77" s="7">
        <f t="shared" si="10"/>
        <v>69.835211662758269</v>
      </c>
      <c r="H77" s="12">
        <f t="shared" si="11"/>
        <v>30.164788337241731</v>
      </c>
    </row>
    <row r="78" spans="1:8">
      <c r="A78" s="4" t="s">
        <v>584</v>
      </c>
      <c r="B78" s="4" t="s">
        <v>585</v>
      </c>
      <c r="C78" s="6" t="s">
        <v>567</v>
      </c>
      <c r="D78" s="12">
        <v>2.8706299999999998</v>
      </c>
      <c r="E78" s="12">
        <v>2.1114600000000001</v>
      </c>
      <c r="F78" s="12">
        <f t="shared" si="9"/>
        <v>1.3595474221628634</v>
      </c>
      <c r="G78" s="7">
        <f t="shared" si="10"/>
        <v>73.553888867600506</v>
      </c>
      <c r="H78" s="12">
        <f t="shared" si="11"/>
        <v>26.446111132399494</v>
      </c>
    </row>
    <row r="79" spans="1:8">
      <c r="A79" s="4" t="s">
        <v>586</v>
      </c>
      <c r="B79" s="4" t="s">
        <v>587</v>
      </c>
      <c r="C79" s="6" t="s">
        <v>26</v>
      </c>
      <c r="D79" s="12">
        <v>5.7665499999999996</v>
      </c>
      <c r="E79" s="12">
        <v>4.2838399999999996</v>
      </c>
      <c r="F79" s="12">
        <f t="shared" si="9"/>
        <v>1.3461170351833869</v>
      </c>
      <c r="G79" s="7">
        <f t="shared" si="10"/>
        <v>74.287745705837978</v>
      </c>
      <c r="H79" s="12">
        <f t="shared" si="11"/>
        <v>25.712254294162022</v>
      </c>
    </row>
    <row r="80" spans="1:8">
      <c r="A80" s="4" t="s">
        <v>588</v>
      </c>
      <c r="B80" s="4" t="s">
        <v>589</v>
      </c>
      <c r="C80" s="6" t="s">
        <v>26</v>
      </c>
      <c r="D80" s="12">
        <v>1.83697</v>
      </c>
      <c r="E80" s="12">
        <v>1.37351</v>
      </c>
      <c r="F80" s="12">
        <f t="shared" si="9"/>
        <v>1.3374274668549919</v>
      </c>
      <c r="G80" s="7">
        <f t="shared" si="10"/>
        <v>74.770409968589576</v>
      </c>
      <c r="H80" s="12">
        <f t="shared" si="11"/>
        <v>25.229590031410424</v>
      </c>
    </row>
    <row r="81" spans="1:8">
      <c r="A81" s="4" t="s">
        <v>669</v>
      </c>
      <c r="C81" s="6" t="s">
        <v>567</v>
      </c>
      <c r="D81" s="12">
        <v>5.5220200000000004</v>
      </c>
      <c r="E81" s="12">
        <v>1.65662</v>
      </c>
      <c r="F81" s="12">
        <f t="shared" si="9"/>
        <v>3.3333051635257336</v>
      </c>
      <c r="G81" s="7">
        <f t="shared" si="10"/>
        <v>30.000253530410973</v>
      </c>
      <c r="H81" s="12">
        <f t="shared" si="11"/>
        <v>69.999746469589027</v>
      </c>
    </row>
    <row r="82" spans="1:8">
      <c r="A82" s="4" t="s">
        <v>670</v>
      </c>
      <c r="B82" s="4" t="s">
        <v>671</v>
      </c>
      <c r="C82" s="6" t="s">
        <v>567</v>
      </c>
      <c r="D82" s="12">
        <v>5.1167699999999998</v>
      </c>
      <c r="E82" s="12">
        <v>1.6961599999999999</v>
      </c>
      <c r="F82" s="12">
        <f t="shared" si="9"/>
        <v>3.0166788510517875</v>
      </c>
      <c r="G82" s="7">
        <f t="shared" si="10"/>
        <v>33.149037381004028</v>
      </c>
      <c r="H82" s="12">
        <f t="shared" si="11"/>
        <v>66.850962618995965</v>
      </c>
    </row>
    <row r="83" spans="1:8">
      <c r="A83" s="4" t="s">
        <v>28</v>
      </c>
      <c r="B83" s="4" t="s">
        <v>672</v>
      </c>
      <c r="C83" s="6" t="s">
        <v>567</v>
      </c>
      <c r="D83" s="12">
        <v>3.4719099999999998</v>
      </c>
      <c r="E83" s="12">
        <v>1.83134</v>
      </c>
      <c r="F83" s="12">
        <f t="shared" si="9"/>
        <v>1.8958303755719854</v>
      </c>
      <c r="G83" s="7">
        <f t="shared" si="10"/>
        <v>52.747335040366828</v>
      </c>
      <c r="H83" s="12">
        <f t="shared" si="11"/>
        <v>47.252664959633172</v>
      </c>
    </row>
    <row r="84" spans="1:8">
      <c r="A84" s="4" t="s">
        <v>383</v>
      </c>
      <c r="B84" s="4" t="s">
        <v>384</v>
      </c>
      <c r="C84" s="6" t="s">
        <v>29</v>
      </c>
      <c r="D84" s="12">
        <v>1.8116300000000001</v>
      </c>
      <c r="E84" s="12">
        <v>1.03443</v>
      </c>
      <c r="F84" s="12">
        <f t="shared" si="9"/>
        <v>1.7513316512475472</v>
      </c>
      <c r="G84" s="7">
        <f t="shared" si="10"/>
        <v>57.099407715703535</v>
      </c>
      <c r="H84" s="12">
        <f t="shared" si="11"/>
        <v>42.900592284296465</v>
      </c>
    </row>
    <row r="85" spans="1:8">
      <c r="A85" s="4" t="s">
        <v>337</v>
      </c>
      <c r="B85" s="4" t="s">
        <v>336</v>
      </c>
      <c r="C85" s="6" t="s">
        <v>335</v>
      </c>
      <c r="D85" s="12">
        <v>3.2220200000000001</v>
      </c>
      <c r="E85" s="12">
        <v>1.1852</v>
      </c>
      <c r="F85" s="12">
        <f t="shared" si="9"/>
        <v>2.7185453931825854</v>
      </c>
      <c r="G85" s="7">
        <f t="shared" si="10"/>
        <v>36.784377502312218</v>
      </c>
      <c r="H85" s="12">
        <f t="shared" si="11"/>
        <v>63.215622497687782</v>
      </c>
    </row>
    <row r="86" spans="1:8" ht="26" customHeight="1">
      <c r="A86" s="4" t="s">
        <v>48</v>
      </c>
      <c r="B86" s="4" t="s">
        <v>341</v>
      </c>
      <c r="C86" s="6" t="s">
        <v>342</v>
      </c>
      <c r="D86" s="12">
        <v>2.7396400000000001</v>
      </c>
      <c r="E86" s="12">
        <v>1.4683999999999999</v>
      </c>
      <c r="F86" s="12">
        <f t="shared" si="9"/>
        <v>1.8657314083356036</v>
      </c>
      <c r="G86" s="7">
        <f t="shared" si="10"/>
        <v>53.598282986085763</v>
      </c>
      <c r="H86" s="12">
        <f t="shared" si="11"/>
        <v>46.401717013914237</v>
      </c>
    </row>
    <row r="87" spans="1:8" ht="26" customHeight="1">
      <c r="A87" s="4" t="s">
        <v>343</v>
      </c>
      <c r="B87" s="4" t="s">
        <v>343</v>
      </c>
      <c r="C87" s="4" t="s">
        <v>344</v>
      </c>
      <c r="D87" s="12">
        <v>2.3986800000000001</v>
      </c>
      <c r="E87" s="12">
        <v>1.59839</v>
      </c>
      <c r="F87" s="12">
        <f t="shared" si="9"/>
        <v>1.5006850643459984</v>
      </c>
      <c r="G87" s="7">
        <f t="shared" si="10"/>
        <v>66.636233261627225</v>
      </c>
      <c r="H87" s="12">
        <f t="shared" si="11"/>
        <v>33.363766738372775</v>
      </c>
    </row>
    <row r="88" spans="1:8">
      <c r="A88" s="4" t="s">
        <v>345</v>
      </c>
      <c r="C88" s="11" t="s">
        <v>498</v>
      </c>
      <c r="D88" s="12">
        <v>1.9496599999999999</v>
      </c>
      <c r="E88" s="12">
        <v>1.31464</v>
      </c>
      <c r="F88" s="12">
        <f t="shared" si="9"/>
        <v>1.4830371812815675</v>
      </c>
      <c r="G88" s="7">
        <f t="shared" si="10"/>
        <v>67.429192782331285</v>
      </c>
      <c r="H88" s="12">
        <f t="shared" si="11"/>
        <v>32.570807217668715</v>
      </c>
    </row>
    <row r="89" spans="1:8">
      <c r="A89" s="4" t="s">
        <v>537</v>
      </c>
      <c r="B89" s="4" t="s">
        <v>536</v>
      </c>
      <c r="C89" s="6" t="s">
        <v>535</v>
      </c>
      <c r="D89" s="12">
        <v>1.7339599999999999</v>
      </c>
      <c r="E89" s="12">
        <v>1.0244500000000001</v>
      </c>
      <c r="F89" s="12">
        <f t="shared" si="9"/>
        <v>1.6925765044658108</v>
      </c>
      <c r="G89" s="7">
        <f t="shared" si="10"/>
        <v>59.081524371957833</v>
      </c>
      <c r="H89" s="12">
        <f t="shared" si="11"/>
        <v>40.918475628042167</v>
      </c>
    </row>
    <row r="90" spans="1:8">
      <c r="A90" s="4" t="s">
        <v>460</v>
      </c>
      <c r="C90" s="4" t="s">
        <v>459</v>
      </c>
      <c r="D90" s="12">
        <v>1.71119</v>
      </c>
      <c r="E90" s="12">
        <v>1.17171</v>
      </c>
      <c r="F90" s="12">
        <f>D90/E90</f>
        <v>1.4604210939566957</v>
      </c>
      <c r="G90" s="7">
        <f t="shared" ref="G90:G102" si="12">E90*100/D90</f>
        <v>68.473401550967466</v>
      </c>
      <c r="H90" s="12">
        <f t="shared" si="11"/>
        <v>31.526598449032534</v>
      </c>
    </row>
    <row r="91" spans="1:8">
      <c r="A91" s="4" t="s">
        <v>291</v>
      </c>
      <c r="C91" s="4" t="s">
        <v>30</v>
      </c>
      <c r="D91" s="12">
        <v>6.7031099999999997</v>
      </c>
      <c r="E91" s="12">
        <v>-1.5170600000000001</v>
      </c>
      <c r="F91" s="12">
        <f>D91/-E91</f>
        <v>4.4184870736819901</v>
      </c>
      <c r="G91" s="7">
        <f t="shared" si="12"/>
        <v>-22.632181181570946</v>
      </c>
      <c r="H91" s="12">
        <f t="shared" si="11"/>
        <v>122.63218118157094</v>
      </c>
    </row>
    <row r="92" spans="1:8">
      <c r="A92" s="4" t="s">
        <v>417</v>
      </c>
      <c r="C92" s="6" t="s">
        <v>31</v>
      </c>
      <c r="D92" s="12">
        <v>2.4448400000000001</v>
      </c>
      <c r="E92" s="12">
        <v>1.61327</v>
      </c>
      <c r="F92" s="12">
        <f>D92/E92</f>
        <v>1.5154561852634711</v>
      </c>
      <c r="G92" s="7">
        <f t="shared" si="12"/>
        <v>65.986731238036029</v>
      </c>
      <c r="H92" s="12">
        <f t="shared" si="11"/>
        <v>34.013268761963971</v>
      </c>
    </row>
    <row r="93" spans="1:8">
      <c r="A93" s="4" t="s">
        <v>246</v>
      </c>
      <c r="C93" s="4" t="s">
        <v>247</v>
      </c>
      <c r="D93" s="12">
        <v>2.0006400000000002</v>
      </c>
      <c r="E93" s="12">
        <v>1.4577199999999999</v>
      </c>
      <c r="F93" s="12">
        <f>D93/E93</f>
        <v>1.3724446395741297</v>
      </c>
      <c r="G93" s="7">
        <f t="shared" si="12"/>
        <v>72.862683941138826</v>
      </c>
      <c r="H93" s="12">
        <f t="shared" si="11"/>
        <v>27.137316058861174</v>
      </c>
    </row>
    <row r="94" spans="1:8">
      <c r="A94" s="4" t="s">
        <v>271</v>
      </c>
      <c r="B94" s="4" t="s">
        <v>272</v>
      </c>
      <c r="C94" s="6" t="s">
        <v>273</v>
      </c>
      <c r="D94" s="12">
        <v>1.49413</v>
      </c>
      <c r="E94" s="12">
        <v>1.06612</v>
      </c>
      <c r="F94" s="12">
        <f>D94/E94</f>
        <v>1.4014651258770119</v>
      </c>
      <c r="G94" s="7">
        <f t="shared" si="12"/>
        <v>71.353898255171899</v>
      </c>
      <c r="H94" s="12">
        <f t="shared" si="11"/>
        <v>28.646101744828101</v>
      </c>
    </row>
    <row r="95" spans="1:8">
      <c r="A95" s="4" t="s">
        <v>274</v>
      </c>
      <c r="B95" s="4" t="s">
        <v>275</v>
      </c>
      <c r="C95" s="4" t="s">
        <v>276</v>
      </c>
      <c r="D95" s="12">
        <v>3.0211399999999999</v>
      </c>
      <c r="E95" s="12">
        <v>1.9806900000000001</v>
      </c>
      <c r="F95" s="12">
        <f>D95/E95</f>
        <v>1.5252967400249406</v>
      </c>
      <c r="G95" s="7">
        <f t="shared" si="12"/>
        <v>65.561013392295635</v>
      </c>
      <c r="H95" s="12">
        <f t="shared" si="11"/>
        <v>34.438986607704365</v>
      </c>
    </row>
    <row r="96" spans="1:8">
      <c r="A96" s="4" t="s">
        <v>277</v>
      </c>
      <c r="B96" s="4" t="s">
        <v>278</v>
      </c>
      <c r="C96" s="6" t="s">
        <v>279</v>
      </c>
      <c r="D96" s="12">
        <v>1.97339</v>
      </c>
      <c r="E96" s="12">
        <v>-1.00406</v>
      </c>
      <c r="F96" s="12">
        <f>D96/-E96</f>
        <v>1.965410433639424</v>
      </c>
      <c r="G96" s="7">
        <f t="shared" si="12"/>
        <v>-50.879957839048537</v>
      </c>
      <c r="H96" s="12">
        <f t="shared" si="11"/>
        <v>150.87995783904853</v>
      </c>
    </row>
    <row r="97" spans="1:8">
      <c r="A97" s="4" t="s">
        <v>96</v>
      </c>
      <c r="C97" s="6" t="s">
        <v>32</v>
      </c>
      <c r="D97" s="12">
        <v>2.6664699999999999</v>
      </c>
      <c r="E97" s="12">
        <v>1.54817</v>
      </c>
      <c r="F97" s="12">
        <f t="shared" ref="F97:F102" si="13">D97/E97</f>
        <v>1.7223366942906786</v>
      </c>
      <c r="G97" s="7">
        <f t="shared" si="12"/>
        <v>58.060656973451799</v>
      </c>
      <c r="H97" s="12">
        <f t="shared" si="11"/>
        <v>41.939343026548201</v>
      </c>
    </row>
    <row r="98" spans="1:8">
      <c r="A98" s="4" t="s">
        <v>33</v>
      </c>
      <c r="B98" s="4" t="s">
        <v>393</v>
      </c>
      <c r="C98" s="4" t="s">
        <v>392</v>
      </c>
      <c r="D98" s="12">
        <v>4.3520300000000001</v>
      </c>
      <c r="E98" s="12">
        <v>1.3301400000000001</v>
      </c>
      <c r="F98" s="12">
        <f t="shared" si="13"/>
        <v>3.2718586013502335</v>
      </c>
      <c r="G98" s="7">
        <f t="shared" si="12"/>
        <v>30.563667989421031</v>
      </c>
      <c r="H98" s="12">
        <f t="shared" si="11"/>
        <v>69.436332010578965</v>
      </c>
    </row>
    <row r="99" spans="1:8">
      <c r="A99" s="4" t="s">
        <v>283</v>
      </c>
      <c r="C99" s="6" t="s">
        <v>282</v>
      </c>
      <c r="D99" s="12">
        <v>2.2552500000000002</v>
      </c>
      <c r="E99" s="12">
        <v>1.50935</v>
      </c>
      <c r="F99" s="12">
        <f t="shared" si="13"/>
        <v>1.4941862391095506</v>
      </c>
      <c r="G99" s="7">
        <f t="shared" si="12"/>
        <v>66.926061412260282</v>
      </c>
      <c r="H99" s="12">
        <f t="shared" si="11"/>
        <v>33.073938587739718</v>
      </c>
    </row>
    <row r="100" spans="1:8">
      <c r="A100" s="4" t="s">
        <v>281</v>
      </c>
      <c r="C100" s="4" t="s">
        <v>280</v>
      </c>
      <c r="D100" s="12">
        <v>3.7718400000000001</v>
      </c>
      <c r="E100" s="12">
        <v>2.7130999999999998</v>
      </c>
      <c r="F100" s="12">
        <f t="shared" si="13"/>
        <v>1.3902325752828868</v>
      </c>
      <c r="G100" s="7">
        <f t="shared" si="12"/>
        <v>71.930410621871559</v>
      </c>
      <c r="H100" s="12">
        <f t="shared" si="11"/>
        <v>28.069589378128441</v>
      </c>
    </row>
    <row r="101" spans="1:8">
      <c r="A101" s="4" t="s">
        <v>148</v>
      </c>
      <c r="B101" s="4" t="s">
        <v>34</v>
      </c>
      <c r="C101" s="6" t="s">
        <v>184</v>
      </c>
      <c r="D101" s="12">
        <v>4.8376599999999996</v>
      </c>
      <c r="E101" s="12">
        <v>1.9399299999999999</v>
      </c>
      <c r="F101" s="12">
        <f t="shared" si="13"/>
        <v>2.4937291551757022</v>
      </c>
      <c r="G101" s="7">
        <f t="shared" si="12"/>
        <v>40.100585820417308</v>
      </c>
      <c r="H101" s="12">
        <f t="shared" si="11"/>
        <v>59.899414179582692</v>
      </c>
    </row>
    <row r="102" spans="1:8">
      <c r="A102" s="4" t="s">
        <v>232</v>
      </c>
      <c r="B102" s="4" t="s">
        <v>231</v>
      </c>
      <c r="C102" s="4" t="s">
        <v>230</v>
      </c>
      <c r="D102" s="12">
        <v>2.1066500000000001</v>
      </c>
      <c r="E102" s="12">
        <v>1.02382</v>
      </c>
      <c r="F102" s="12">
        <f t="shared" si="13"/>
        <v>2.0576370846437855</v>
      </c>
      <c r="G102" s="7">
        <f t="shared" si="12"/>
        <v>48.599435122113299</v>
      </c>
      <c r="H102" s="12">
        <f t="shared" si="11"/>
        <v>51.400564877886701</v>
      </c>
    </row>
    <row r="104" spans="1:8">
      <c r="A104" s="5" t="s">
        <v>185</v>
      </c>
    </row>
    <row r="105" spans="1:8">
      <c r="A105" s="4" t="s">
        <v>448</v>
      </c>
      <c r="B105" s="4" t="s">
        <v>667</v>
      </c>
      <c r="C105" s="4" t="s">
        <v>668</v>
      </c>
      <c r="D105" s="12">
        <v>2.0841099999999999</v>
      </c>
      <c r="E105" s="12">
        <v>1.36077</v>
      </c>
      <c r="F105" s="12">
        <f t="shared" ref="F105:F127" si="14">D105/E105</f>
        <v>1.5315666865083739</v>
      </c>
      <c r="G105" s="7">
        <f t="shared" ref="G105:G130" si="15">E105*100/D105</f>
        <v>65.292618911669734</v>
      </c>
      <c r="H105" s="12">
        <f t="shared" ref="H105:H133" si="16">100-G105</f>
        <v>34.707381088330266</v>
      </c>
    </row>
    <row r="106" spans="1:8">
      <c r="A106" s="4" t="s">
        <v>674</v>
      </c>
      <c r="C106" s="11" t="s">
        <v>675</v>
      </c>
      <c r="D106" s="12">
        <v>1.67818</v>
      </c>
      <c r="E106" s="12">
        <v>1.0161800000000001</v>
      </c>
      <c r="F106" s="12">
        <f t="shared" si="14"/>
        <v>1.6514593871164556</v>
      </c>
      <c r="G106" s="7">
        <f t="shared" si="15"/>
        <v>60.552503307154183</v>
      </c>
      <c r="H106" s="12">
        <f t="shared" si="16"/>
        <v>39.447496692845817</v>
      </c>
    </row>
    <row r="107" spans="1:8" ht="30">
      <c r="A107" s="4" t="s">
        <v>677</v>
      </c>
      <c r="C107" s="6" t="s">
        <v>678</v>
      </c>
      <c r="D107" s="12">
        <v>2.1253600000000001</v>
      </c>
      <c r="E107" s="12">
        <v>1.14463</v>
      </c>
      <c r="F107" s="12">
        <f t="shared" si="14"/>
        <v>1.8568096240706604</v>
      </c>
      <c r="G107" s="7">
        <f t="shared" si="15"/>
        <v>53.855817367410701</v>
      </c>
      <c r="H107" s="12">
        <f t="shared" si="16"/>
        <v>46.144182632589299</v>
      </c>
    </row>
    <row r="108" spans="1:8" ht="30">
      <c r="A108" s="4" t="s">
        <v>679</v>
      </c>
      <c r="C108" s="6" t="s">
        <v>517</v>
      </c>
      <c r="D108" s="12">
        <v>1.9311</v>
      </c>
      <c r="E108" s="12">
        <v>1.34293</v>
      </c>
      <c r="F108" s="12">
        <f t="shared" si="14"/>
        <v>1.4379751736873851</v>
      </c>
      <c r="G108" s="7">
        <f t="shared" si="15"/>
        <v>69.542229817202639</v>
      </c>
      <c r="H108" s="12">
        <f t="shared" si="16"/>
        <v>30.457770182797361</v>
      </c>
    </row>
    <row r="109" spans="1:8">
      <c r="A109" s="4" t="s">
        <v>676</v>
      </c>
      <c r="C109" s="4" t="s">
        <v>186</v>
      </c>
      <c r="D109" s="12">
        <v>1.82836</v>
      </c>
      <c r="E109" s="12">
        <v>1.1035900000000001</v>
      </c>
      <c r="F109" s="12">
        <f t="shared" si="14"/>
        <v>1.6567384626537027</v>
      </c>
      <c r="G109" s="7">
        <f t="shared" si="15"/>
        <v>60.35955719880112</v>
      </c>
      <c r="H109" s="12">
        <f t="shared" si="16"/>
        <v>39.64044280119888</v>
      </c>
    </row>
    <row r="110" spans="1:8">
      <c r="A110" s="4" t="s">
        <v>673</v>
      </c>
      <c r="C110" s="4" t="s">
        <v>187</v>
      </c>
      <c r="D110" s="12">
        <v>2.37832</v>
      </c>
      <c r="E110" s="12">
        <v>1.2593099999999999</v>
      </c>
      <c r="F110" s="12">
        <f t="shared" si="14"/>
        <v>1.8885897832940262</v>
      </c>
      <c r="G110" s="7">
        <f t="shared" si="15"/>
        <v>52.949561034679938</v>
      </c>
      <c r="H110" s="12">
        <f t="shared" si="16"/>
        <v>47.050438965320062</v>
      </c>
    </row>
    <row r="111" spans="1:8">
      <c r="A111" s="4" t="s">
        <v>601</v>
      </c>
      <c r="B111" s="4" t="s">
        <v>600</v>
      </c>
      <c r="C111" s="6" t="s">
        <v>597</v>
      </c>
      <c r="D111" s="12">
        <v>2.83351</v>
      </c>
      <c r="E111" s="12">
        <v>1.0645800000000001</v>
      </c>
      <c r="F111" s="12">
        <f t="shared" si="14"/>
        <v>2.6616224238666888</v>
      </c>
      <c r="G111" s="7">
        <f t="shared" si="15"/>
        <v>37.571069098044482</v>
      </c>
      <c r="H111" s="12">
        <f t="shared" si="16"/>
        <v>62.428930901955518</v>
      </c>
    </row>
    <row r="112" spans="1:8">
      <c r="A112" s="4" t="s">
        <v>599</v>
      </c>
      <c r="B112" s="4" t="s">
        <v>598</v>
      </c>
      <c r="C112" s="4" t="s">
        <v>597</v>
      </c>
      <c r="D112" s="12">
        <v>2.5870299999999999</v>
      </c>
      <c r="E112" s="12">
        <v>1.10392</v>
      </c>
      <c r="F112" s="12">
        <f t="shared" si="14"/>
        <v>2.3434940937749111</v>
      </c>
      <c r="G112" s="7">
        <f t="shared" si="15"/>
        <v>42.67132580604013</v>
      </c>
      <c r="H112" s="12">
        <f t="shared" si="16"/>
        <v>57.32867419395987</v>
      </c>
    </row>
    <row r="113" spans="1:8">
      <c r="A113" s="4" t="s">
        <v>602</v>
      </c>
      <c r="B113" s="4" t="s">
        <v>603</v>
      </c>
      <c r="C113" s="6" t="s">
        <v>604</v>
      </c>
      <c r="D113" s="12">
        <v>2.03661</v>
      </c>
      <c r="E113" s="12">
        <v>1.30915</v>
      </c>
      <c r="F113" s="12">
        <f t="shared" si="14"/>
        <v>1.5556735286254439</v>
      </c>
      <c r="G113" s="7">
        <f t="shared" si="15"/>
        <v>64.280839237752929</v>
      </c>
      <c r="H113" s="12">
        <f t="shared" si="16"/>
        <v>35.719160762247071</v>
      </c>
    </row>
    <row r="114" spans="1:8">
      <c r="A114" s="4" t="s">
        <v>605</v>
      </c>
      <c r="C114" s="6" t="s">
        <v>606</v>
      </c>
      <c r="D114" s="12">
        <v>5.30959</v>
      </c>
      <c r="E114" s="12">
        <v>1.46597</v>
      </c>
      <c r="F114" s="12">
        <f t="shared" si="14"/>
        <v>3.6218954003151498</v>
      </c>
      <c r="G114" s="7">
        <f t="shared" si="15"/>
        <v>27.609853114835609</v>
      </c>
      <c r="H114" s="12">
        <f t="shared" si="16"/>
        <v>72.390146885164398</v>
      </c>
    </row>
    <row r="115" spans="1:8">
      <c r="A115" s="4" t="s">
        <v>607</v>
      </c>
      <c r="C115" s="6" t="s">
        <v>606</v>
      </c>
      <c r="D115" s="12">
        <v>2.4932799999999999</v>
      </c>
      <c r="E115" s="12">
        <v>1.3435299999999999</v>
      </c>
      <c r="F115" s="12">
        <f t="shared" si="14"/>
        <v>1.855768014112078</v>
      </c>
      <c r="G115" s="7">
        <f t="shared" si="15"/>
        <v>53.886045690816907</v>
      </c>
      <c r="H115" s="12">
        <f t="shared" si="16"/>
        <v>46.113954309183093</v>
      </c>
    </row>
    <row r="116" spans="1:8">
      <c r="A116" s="4" t="s">
        <v>608</v>
      </c>
      <c r="C116" s="6" t="s">
        <v>606</v>
      </c>
      <c r="D116" s="12">
        <v>2.2235800000000001</v>
      </c>
      <c r="E116" s="12">
        <v>1.20194</v>
      </c>
      <c r="F116" s="12">
        <f t="shared" si="14"/>
        <v>1.8499925121054297</v>
      </c>
      <c r="G116" s="7">
        <f t="shared" si="15"/>
        <v>54.054272839295187</v>
      </c>
      <c r="H116" s="12">
        <f t="shared" si="16"/>
        <v>45.945727160704813</v>
      </c>
    </row>
    <row r="117" spans="1:8">
      <c r="A117" s="4" t="s">
        <v>607</v>
      </c>
      <c r="C117" s="6" t="s">
        <v>606</v>
      </c>
      <c r="D117" s="12">
        <v>2.3493599999999999</v>
      </c>
      <c r="E117" s="12">
        <v>1.48217</v>
      </c>
      <c r="F117" s="12">
        <f t="shared" si="14"/>
        <v>1.5850813334502789</v>
      </c>
      <c r="G117" s="7">
        <f t="shared" si="15"/>
        <v>63.088245309360843</v>
      </c>
      <c r="H117" s="12">
        <f t="shared" si="16"/>
        <v>36.911754690639157</v>
      </c>
    </row>
    <row r="118" spans="1:8">
      <c r="A118" s="4" t="s">
        <v>609</v>
      </c>
      <c r="C118" s="4" t="s">
        <v>606</v>
      </c>
      <c r="D118" s="12">
        <v>1.68327</v>
      </c>
      <c r="E118" s="12">
        <v>1.15741</v>
      </c>
      <c r="F118" s="12">
        <f t="shared" si="14"/>
        <v>1.4543420222738701</v>
      </c>
      <c r="G118" s="7">
        <f t="shared" si="15"/>
        <v>68.759616698450046</v>
      </c>
      <c r="H118" s="12">
        <f t="shared" si="16"/>
        <v>31.240383301549954</v>
      </c>
    </row>
    <row r="119" spans="1:8">
      <c r="A119" s="4" t="s">
        <v>434</v>
      </c>
      <c r="C119" s="4" t="s">
        <v>433</v>
      </c>
      <c r="D119" s="12">
        <v>1.7600899999999999</v>
      </c>
      <c r="E119" s="12">
        <v>1.0846499999999999</v>
      </c>
      <c r="F119" s="12">
        <f t="shared" si="14"/>
        <v>1.6227262250495553</v>
      </c>
      <c r="G119" s="7">
        <f t="shared" si="15"/>
        <v>61.624689646552163</v>
      </c>
      <c r="H119" s="12">
        <f t="shared" si="16"/>
        <v>38.375310353447837</v>
      </c>
    </row>
    <row r="120" spans="1:8">
      <c r="A120" s="4" t="s">
        <v>437</v>
      </c>
      <c r="B120" s="4" t="s">
        <v>437</v>
      </c>
      <c r="C120" s="4" t="s">
        <v>435</v>
      </c>
      <c r="D120" s="12">
        <v>6.2211600000000002</v>
      </c>
      <c r="E120" s="12">
        <v>2.83812</v>
      </c>
      <c r="F120" s="12">
        <f t="shared" si="14"/>
        <v>2.1920003382520825</v>
      </c>
      <c r="G120" s="7">
        <f t="shared" si="15"/>
        <v>45.62043091642073</v>
      </c>
      <c r="H120" s="12">
        <f t="shared" si="16"/>
        <v>54.37956908357927</v>
      </c>
    </row>
    <row r="121" spans="1:8">
      <c r="A121" s="4" t="s">
        <v>436</v>
      </c>
      <c r="C121" s="4" t="s">
        <v>435</v>
      </c>
      <c r="D121" s="12">
        <v>2.2588699999999999</v>
      </c>
      <c r="E121" s="12">
        <v>1.5208200000000001</v>
      </c>
      <c r="F121" s="12">
        <f t="shared" si="14"/>
        <v>1.4852974053471153</v>
      </c>
      <c r="G121" s="7">
        <f t="shared" si="15"/>
        <v>67.326583645805201</v>
      </c>
      <c r="H121" s="12">
        <f t="shared" si="16"/>
        <v>32.673416354194799</v>
      </c>
    </row>
    <row r="122" spans="1:8">
      <c r="A122" s="4" t="s">
        <v>443</v>
      </c>
      <c r="C122" s="4" t="s">
        <v>442</v>
      </c>
      <c r="D122" s="12">
        <v>3.8283499999999999</v>
      </c>
      <c r="E122" s="12">
        <v>1.5948800000000001</v>
      </c>
      <c r="F122" s="12">
        <f t="shared" si="14"/>
        <v>2.400400030096308</v>
      </c>
      <c r="G122" s="7">
        <f t="shared" si="15"/>
        <v>41.659722857105542</v>
      </c>
      <c r="H122" s="12">
        <f t="shared" si="16"/>
        <v>58.340277142894458</v>
      </c>
    </row>
    <row r="123" spans="1:8">
      <c r="A123" s="4" t="s">
        <v>441</v>
      </c>
      <c r="C123" s="6" t="s">
        <v>440</v>
      </c>
      <c r="D123" s="12">
        <v>3.2336399999999998</v>
      </c>
      <c r="E123" s="12">
        <v>1.1072200000000001</v>
      </c>
      <c r="F123" s="12">
        <f t="shared" si="14"/>
        <v>2.9205036036198764</v>
      </c>
      <c r="G123" s="7">
        <f t="shared" si="15"/>
        <v>34.240669957076243</v>
      </c>
      <c r="H123" s="12">
        <f t="shared" si="16"/>
        <v>65.75933004292375</v>
      </c>
    </row>
    <row r="124" spans="1:8">
      <c r="A124" s="4" t="s">
        <v>444</v>
      </c>
      <c r="C124" s="4" t="s">
        <v>445</v>
      </c>
      <c r="D124" s="12">
        <v>2.1589399999999999</v>
      </c>
      <c r="E124" s="12">
        <v>1.3783799999999999</v>
      </c>
      <c r="F124" s="12">
        <f t="shared" si="14"/>
        <v>1.5662879612298495</v>
      </c>
      <c r="G124" s="7">
        <f t="shared" si="15"/>
        <v>63.84522033961111</v>
      </c>
      <c r="H124" s="12">
        <f t="shared" si="16"/>
        <v>36.15477966038889</v>
      </c>
    </row>
    <row r="125" spans="1:8">
      <c r="A125" s="4" t="s">
        <v>446</v>
      </c>
      <c r="C125" s="4" t="s">
        <v>447</v>
      </c>
      <c r="D125" s="12">
        <v>2.1225100000000001</v>
      </c>
      <c r="E125" s="12">
        <v>1.0381499999999999</v>
      </c>
      <c r="F125" s="12">
        <f t="shared" si="14"/>
        <v>2.0445118720801427</v>
      </c>
      <c r="G125" s="7">
        <f t="shared" si="15"/>
        <v>48.911430334839409</v>
      </c>
      <c r="H125" s="12">
        <f t="shared" si="16"/>
        <v>51.088569665160591</v>
      </c>
    </row>
    <row r="126" spans="1:8">
      <c r="A126" s="4" t="s">
        <v>518</v>
      </c>
      <c r="B126" s="4" t="s">
        <v>519</v>
      </c>
      <c r="C126" s="4" t="s">
        <v>327</v>
      </c>
      <c r="D126" s="12">
        <v>10.8474</v>
      </c>
      <c r="E126" s="12">
        <v>5.7554999999999996</v>
      </c>
      <c r="F126" s="12">
        <f t="shared" si="14"/>
        <v>1.8847015897836854</v>
      </c>
      <c r="G126" s="7">
        <f t="shared" si="15"/>
        <v>53.058797499861711</v>
      </c>
      <c r="H126" s="12">
        <f t="shared" si="16"/>
        <v>46.941202500138289</v>
      </c>
    </row>
    <row r="127" spans="1:8">
      <c r="A127" s="4" t="s">
        <v>328</v>
      </c>
      <c r="B127" s="4" t="s">
        <v>329</v>
      </c>
      <c r="C127" s="4" t="s">
        <v>327</v>
      </c>
      <c r="D127" s="12">
        <v>2.6377100000000002</v>
      </c>
      <c r="E127" s="12">
        <v>1.9355599999999999</v>
      </c>
      <c r="F127" s="12">
        <f t="shared" si="14"/>
        <v>1.3627632313129019</v>
      </c>
      <c r="G127" s="7">
        <f t="shared" si="15"/>
        <v>73.380318533879759</v>
      </c>
      <c r="H127" s="12">
        <f t="shared" si="16"/>
        <v>26.619681466120241</v>
      </c>
    </row>
    <row r="128" spans="1:8">
      <c r="A128" s="4" t="s">
        <v>330</v>
      </c>
      <c r="C128" s="6" t="s">
        <v>331</v>
      </c>
      <c r="D128" s="12">
        <v>1.44835</v>
      </c>
      <c r="E128" s="12">
        <v>-1.0368299999999999</v>
      </c>
      <c r="F128" s="12">
        <f>D128/-E128</f>
        <v>1.396902095811271</v>
      </c>
      <c r="G128" s="7">
        <f t="shared" si="15"/>
        <v>-71.586978285635368</v>
      </c>
      <c r="H128" s="12">
        <f t="shared" si="16"/>
        <v>171.58697828563538</v>
      </c>
    </row>
    <row r="129" spans="1:9">
      <c r="A129" s="4" t="s">
        <v>332</v>
      </c>
      <c r="B129" s="4" t="s">
        <v>333</v>
      </c>
      <c r="C129" s="8" t="s">
        <v>334</v>
      </c>
      <c r="D129" s="12">
        <v>1.60429</v>
      </c>
      <c r="E129" s="12">
        <v>1.08226</v>
      </c>
      <c r="F129" s="12">
        <f>D129/E129</f>
        <v>1.4823517454216177</v>
      </c>
      <c r="G129" s="7">
        <f t="shared" si="15"/>
        <v>67.460371877902375</v>
      </c>
      <c r="H129" s="12">
        <f t="shared" si="16"/>
        <v>32.539628122097625</v>
      </c>
    </row>
    <row r="130" spans="1:9">
      <c r="A130" s="4" t="s">
        <v>338</v>
      </c>
      <c r="B130" s="4" t="s">
        <v>339</v>
      </c>
      <c r="C130" s="4" t="s">
        <v>340</v>
      </c>
      <c r="D130" s="12">
        <v>2.1547499999999999</v>
      </c>
      <c r="E130" s="12">
        <v>1.5632999999999999</v>
      </c>
      <c r="F130" s="12">
        <f>D130/E130</f>
        <v>1.378334292842065</v>
      </c>
      <c r="G130" s="7">
        <f t="shared" si="15"/>
        <v>72.551340062652272</v>
      </c>
      <c r="H130" s="12">
        <f t="shared" si="16"/>
        <v>27.448659937347728</v>
      </c>
    </row>
    <row r="131" spans="1:9" ht="30">
      <c r="A131" s="4" t="s">
        <v>679</v>
      </c>
      <c r="C131" s="6" t="s">
        <v>517</v>
      </c>
      <c r="D131" s="12">
        <v>1.84663</v>
      </c>
      <c r="E131" s="12">
        <v>1.19421</v>
      </c>
      <c r="F131" s="12">
        <f>D131/E131</f>
        <v>1.5463193240719806</v>
      </c>
      <c r="G131" s="7">
        <f>E131*100/D131</f>
        <v>64.669695607674512</v>
      </c>
      <c r="H131" s="12">
        <f t="shared" si="16"/>
        <v>35.330304392325488</v>
      </c>
    </row>
    <row r="132" spans="1:9">
      <c r="A132" s="4" t="s">
        <v>81</v>
      </c>
      <c r="B132" s="4" t="s">
        <v>234</v>
      </c>
      <c r="C132" s="4" t="s">
        <v>233</v>
      </c>
      <c r="D132" s="12">
        <v>2.3649300000000002</v>
      </c>
      <c r="E132" s="12">
        <v>1.4535800000000001</v>
      </c>
      <c r="F132" s="12">
        <f>D132/E132</f>
        <v>1.6269692758568499</v>
      </c>
      <c r="G132" s="7">
        <f>E132*100/D132</f>
        <v>61.463975677927039</v>
      </c>
      <c r="H132" s="12">
        <f t="shared" si="16"/>
        <v>38.536024322072961</v>
      </c>
    </row>
    <row r="133" spans="1:9">
      <c r="A133" s="4" t="s">
        <v>285</v>
      </c>
      <c r="B133" s="4" t="s">
        <v>284</v>
      </c>
      <c r="C133" s="6" t="s">
        <v>188</v>
      </c>
      <c r="D133" s="12">
        <v>3.0192299999999999</v>
      </c>
      <c r="E133" s="12">
        <v>-1.49658</v>
      </c>
      <c r="F133" s="12">
        <f>D133/-E133</f>
        <v>2.0174197169546564</v>
      </c>
      <c r="G133" s="7">
        <f>E133*100/D133</f>
        <v>-49.568267405928012</v>
      </c>
      <c r="H133" s="12">
        <f t="shared" si="16"/>
        <v>149.568267405928</v>
      </c>
    </row>
    <row r="135" spans="1:9">
      <c r="A135" s="5" t="s">
        <v>189</v>
      </c>
    </row>
    <row r="136" spans="1:9" s="1" customFormat="1">
      <c r="A136" s="4" t="s">
        <v>534</v>
      </c>
      <c r="B136" s="4" t="s">
        <v>533</v>
      </c>
      <c r="C136" s="6" t="s">
        <v>190</v>
      </c>
      <c r="D136" s="12">
        <v>1.4412100000000001</v>
      </c>
      <c r="E136" s="12">
        <v>1.03301</v>
      </c>
      <c r="F136" s="12">
        <f t="shared" ref="F136:F138" si="17">D136/E136</f>
        <v>1.3951559036214558</v>
      </c>
      <c r="G136" s="7">
        <f t="shared" ref="G136:G138" si="18">E136*100/D136</f>
        <v>71.676577320446015</v>
      </c>
      <c r="H136" s="12">
        <f t="shared" ref="H136:H141" si="19">100-G136</f>
        <v>28.323422679553985</v>
      </c>
    </row>
    <row r="137" spans="1:9">
      <c r="A137" s="4" t="s">
        <v>542</v>
      </c>
      <c r="B137" s="4" t="s">
        <v>541</v>
      </c>
      <c r="C137" s="4" t="s">
        <v>540</v>
      </c>
      <c r="D137" s="12">
        <v>2.0503200000000001</v>
      </c>
      <c r="E137" s="12">
        <v>1.2433399999999999</v>
      </c>
      <c r="F137" s="12">
        <f t="shared" si="17"/>
        <v>1.6490420962890282</v>
      </c>
      <c r="G137" s="7">
        <f t="shared" si="18"/>
        <v>60.64126575363845</v>
      </c>
      <c r="H137" s="12">
        <f t="shared" si="19"/>
        <v>39.35873424636155</v>
      </c>
    </row>
    <row r="138" spans="1:9">
      <c r="A138" s="4" t="s">
        <v>543</v>
      </c>
      <c r="B138" s="4" t="s">
        <v>191</v>
      </c>
      <c r="C138" s="6" t="s">
        <v>45</v>
      </c>
      <c r="D138" s="12">
        <v>6.0349500000000003</v>
      </c>
      <c r="E138" s="12">
        <v>2.3504499999999999</v>
      </c>
      <c r="F138" s="12">
        <f t="shared" si="17"/>
        <v>2.567572167031845</v>
      </c>
      <c r="G138" s="7">
        <f t="shared" si="18"/>
        <v>38.947298652018652</v>
      </c>
      <c r="H138" s="12">
        <f t="shared" si="19"/>
        <v>61.052701347981348</v>
      </c>
    </row>
    <row r="139" spans="1:9">
      <c r="A139" s="4" t="s">
        <v>547</v>
      </c>
      <c r="B139" s="4" t="s">
        <v>548</v>
      </c>
      <c r="C139" s="6" t="s">
        <v>549</v>
      </c>
      <c r="D139" s="12">
        <v>2.63286</v>
      </c>
      <c r="E139" s="12">
        <v>1.43672</v>
      </c>
      <c r="F139" s="12">
        <f>D139/E139</f>
        <v>1.8325491397071105</v>
      </c>
      <c r="G139" s="7">
        <f>E139*100/D139</f>
        <v>54.568795910150939</v>
      </c>
      <c r="H139" s="12">
        <f t="shared" si="19"/>
        <v>45.431204089849061</v>
      </c>
    </row>
    <row r="140" spans="1:9" ht="22" customHeight="1">
      <c r="A140" s="4" t="s">
        <v>248</v>
      </c>
      <c r="C140" s="6" t="s">
        <v>192</v>
      </c>
      <c r="D140" s="12">
        <v>2.1990799999999999</v>
      </c>
      <c r="E140" s="12">
        <v>1.3552200000000001</v>
      </c>
      <c r="F140" s="12">
        <f>D140/E140</f>
        <v>1.6226738094183968</v>
      </c>
      <c r="G140" s="7">
        <f>E140*100/D140</f>
        <v>61.62668024810376</v>
      </c>
      <c r="H140" s="12">
        <f t="shared" si="19"/>
        <v>38.37331975189624</v>
      </c>
      <c r="I140" s="4" t="s">
        <v>162</v>
      </c>
    </row>
    <row r="141" spans="1:9">
      <c r="A141" s="4" t="s">
        <v>395</v>
      </c>
      <c r="B141" s="4" t="s">
        <v>394</v>
      </c>
      <c r="C141" s="6" t="s">
        <v>193</v>
      </c>
      <c r="D141" s="12">
        <v>2.2318699999999998</v>
      </c>
      <c r="E141" s="12">
        <v>1.6172299999999999</v>
      </c>
      <c r="F141" s="12">
        <f>D141/E141</f>
        <v>1.3800572583986197</v>
      </c>
      <c r="G141" s="7">
        <f>E141*100/D141</f>
        <v>72.460761603498412</v>
      </c>
      <c r="H141" s="12">
        <f t="shared" si="19"/>
        <v>27.539238396501588</v>
      </c>
    </row>
    <row r="143" spans="1:9">
      <c r="A143" s="5" t="s">
        <v>194</v>
      </c>
    </row>
    <row r="144" spans="1:9">
      <c r="A144" s="4" t="s">
        <v>396</v>
      </c>
      <c r="B144" s="4" t="s">
        <v>397</v>
      </c>
      <c r="C144" s="4" t="s">
        <v>398</v>
      </c>
      <c r="D144" s="12">
        <v>2.4589699999999999</v>
      </c>
      <c r="E144" s="12">
        <v>1.1207100000000001</v>
      </c>
      <c r="F144" s="12">
        <f t="shared" ref="F144:F154" si="20">D144/E144</f>
        <v>2.1941180144729677</v>
      </c>
      <c r="G144" s="7">
        <f t="shared" ref="G144:G154" si="21">E144*100/D144</f>
        <v>45.576399874744311</v>
      </c>
      <c r="H144" s="12">
        <f t="shared" ref="H144:H160" si="22">100-G144</f>
        <v>54.423600125255689</v>
      </c>
    </row>
    <row r="145" spans="1:8">
      <c r="A145" s="4" t="s">
        <v>618</v>
      </c>
      <c r="C145" s="6" t="s">
        <v>619</v>
      </c>
      <c r="D145" s="12">
        <v>7.5517599999999998</v>
      </c>
      <c r="E145" s="12">
        <v>4.0543399999999998</v>
      </c>
      <c r="F145" s="12">
        <f t="shared" si="20"/>
        <v>1.8626360887345412</v>
      </c>
      <c r="G145" s="7">
        <f t="shared" si="21"/>
        <v>53.687352352299328</v>
      </c>
      <c r="H145" s="12">
        <f t="shared" si="22"/>
        <v>46.312647647700672</v>
      </c>
    </row>
    <row r="146" spans="1:8">
      <c r="A146" s="4" t="s">
        <v>399</v>
      </c>
      <c r="C146" s="4" t="s">
        <v>400</v>
      </c>
      <c r="D146" s="12">
        <v>9.7684200000000008</v>
      </c>
      <c r="E146" s="12">
        <v>3.8685200000000002</v>
      </c>
      <c r="F146" s="12">
        <f t="shared" si="20"/>
        <v>2.5251052081933145</v>
      </c>
      <c r="G146" s="7">
        <f t="shared" si="21"/>
        <v>39.602310301973091</v>
      </c>
      <c r="H146" s="12">
        <f t="shared" si="22"/>
        <v>60.397689698026909</v>
      </c>
    </row>
    <row r="147" spans="1:8">
      <c r="A147" s="4" t="s">
        <v>401</v>
      </c>
      <c r="B147" s="4" t="s">
        <v>402</v>
      </c>
      <c r="C147" s="4" t="s">
        <v>400</v>
      </c>
      <c r="D147" s="12">
        <v>1.8483099999999999</v>
      </c>
      <c r="E147" s="12">
        <v>1.1959500000000001</v>
      </c>
      <c r="F147" s="12">
        <f t="shared" si="20"/>
        <v>1.5454743091266356</v>
      </c>
      <c r="G147" s="7">
        <f t="shared" si="21"/>
        <v>64.705054887978761</v>
      </c>
      <c r="H147" s="12">
        <f t="shared" si="22"/>
        <v>35.294945112021239</v>
      </c>
    </row>
    <row r="148" spans="1:8">
      <c r="A148" s="4" t="s">
        <v>712</v>
      </c>
      <c r="B148" s="4" t="s">
        <v>711</v>
      </c>
      <c r="C148" s="4" t="s">
        <v>710</v>
      </c>
      <c r="D148" s="12">
        <v>2.7757100000000001</v>
      </c>
      <c r="E148" s="12">
        <v>1.3297699999999999</v>
      </c>
      <c r="F148" s="12">
        <f t="shared" si="20"/>
        <v>2.0873609721982</v>
      </c>
      <c r="G148" s="7">
        <f t="shared" si="21"/>
        <v>47.907382255350875</v>
      </c>
      <c r="H148" s="12">
        <f t="shared" si="22"/>
        <v>52.092617744649125</v>
      </c>
    </row>
    <row r="149" spans="1:8">
      <c r="A149" s="4" t="s">
        <v>195</v>
      </c>
      <c r="B149" s="4" t="s">
        <v>709</v>
      </c>
      <c r="C149" s="6" t="s">
        <v>196</v>
      </c>
      <c r="D149" s="12">
        <v>3.0677500000000002</v>
      </c>
      <c r="E149" s="12">
        <v>1.5282</v>
      </c>
      <c r="F149" s="12">
        <f t="shared" si="20"/>
        <v>2.0074270383457664</v>
      </c>
      <c r="G149" s="7">
        <f t="shared" si="21"/>
        <v>49.815011001548363</v>
      </c>
      <c r="H149" s="12">
        <f t="shared" si="22"/>
        <v>50.184988998451637</v>
      </c>
    </row>
    <row r="150" spans="1:8">
      <c r="A150" s="4" t="s">
        <v>595</v>
      </c>
      <c r="B150" s="4" t="s">
        <v>594</v>
      </c>
      <c r="C150" s="8" t="s">
        <v>590</v>
      </c>
      <c r="D150" s="12">
        <v>3.21061</v>
      </c>
      <c r="E150" s="12">
        <v>1.62639</v>
      </c>
      <c r="F150" s="12">
        <f t="shared" si="20"/>
        <v>1.9740714096864835</v>
      </c>
      <c r="G150" s="7">
        <f t="shared" si="21"/>
        <v>50.656728783626789</v>
      </c>
      <c r="H150" s="12">
        <f t="shared" si="22"/>
        <v>49.343271216373211</v>
      </c>
    </row>
    <row r="151" spans="1:8">
      <c r="A151" s="4" t="s">
        <v>197</v>
      </c>
      <c r="B151" s="4" t="s">
        <v>593</v>
      </c>
      <c r="C151" s="6" t="s">
        <v>196</v>
      </c>
      <c r="D151" s="12">
        <v>3.1047099999999999</v>
      </c>
      <c r="E151" s="12">
        <v>2.0031400000000001</v>
      </c>
      <c r="F151" s="12">
        <f t="shared" si="20"/>
        <v>1.5499216230518085</v>
      </c>
      <c r="G151" s="7">
        <f t="shared" si="21"/>
        <v>64.519391505164748</v>
      </c>
      <c r="H151" s="12">
        <f t="shared" si="22"/>
        <v>35.480608494835252</v>
      </c>
    </row>
    <row r="152" spans="1:8">
      <c r="A152" s="4" t="s">
        <v>592</v>
      </c>
      <c r="B152" s="4" t="s">
        <v>591</v>
      </c>
      <c r="C152" s="8" t="s">
        <v>590</v>
      </c>
      <c r="D152" s="12">
        <v>1.4638199999999999</v>
      </c>
      <c r="E152" s="12">
        <v>1.0844499999999999</v>
      </c>
      <c r="F152" s="12">
        <f t="shared" si="20"/>
        <v>1.3498271012955876</v>
      </c>
      <c r="G152" s="7">
        <f t="shared" si="21"/>
        <v>74.083562186607637</v>
      </c>
      <c r="H152" s="12">
        <f t="shared" si="22"/>
        <v>25.916437813392363</v>
      </c>
    </row>
    <row r="153" spans="1:8">
      <c r="A153" s="4" t="s">
        <v>666</v>
      </c>
      <c r="B153" s="4" t="s">
        <v>407</v>
      </c>
      <c r="C153" s="6" t="s">
        <v>406</v>
      </c>
      <c r="D153" s="12">
        <v>5.21882</v>
      </c>
      <c r="E153" s="12">
        <v>3.7146599999999999</v>
      </c>
      <c r="F153" s="12">
        <f t="shared" si="20"/>
        <v>1.4049253498301326</v>
      </c>
      <c r="G153" s="7">
        <f t="shared" si="21"/>
        <v>71.178159047447508</v>
      </c>
      <c r="H153" s="12">
        <f t="shared" si="22"/>
        <v>28.821840952552492</v>
      </c>
    </row>
    <row r="154" spans="1:8">
      <c r="A154" s="4" t="s">
        <v>405</v>
      </c>
      <c r="B154" s="4" t="s">
        <v>404</v>
      </c>
      <c r="C154" s="6" t="s">
        <v>403</v>
      </c>
      <c r="D154" s="12">
        <v>2.05985</v>
      </c>
      <c r="E154" s="12">
        <v>1.42828</v>
      </c>
      <c r="F154" s="12">
        <f t="shared" si="20"/>
        <v>1.4421892065981461</v>
      </c>
      <c r="G154" s="7">
        <f t="shared" si="21"/>
        <v>69.33902954098599</v>
      </c>
      <c r="H154" s="12">
        <f t="shared" si="22"/>
        <v>30.66097045901401</v>
      </c>
    </row>
    <row r="155" spans="1:8">
      <c r="A155" s="4" t="s">
        <v>473</v>
      </c>
      <c r="B155" s="4" t="s">
        <v>472</v>
      </c>
      <c r="C155" s="6" t="s">
        <v>471</v>
      </c>
      <c r="D155" s="12">
        <v>2.9463300000000001</v>
      </c>
      <c r="E155" s="12">
        <v>1.90838</v>
      </c>
      <c r="F155" s="12">
        <f t="shared" ref="F155:F160" si="23">D155/E155</f>
        <v>1.5438906297487922</v>
      </c>
      <c r="G155" s="7">
        <f t="shared" ref="G155:G160" si="24">E155*100/D155</f>
        <v>64.771427504726219</v>
      </c>
      <c r="H155" s="12">
        <f t="shared" si="22"/>
        <v>35.228572495273781</v>
      </c>
    </row>
    <row r="156" spans="1:8">
      <c r="A156" s="4" t="s">
        <v>290</v>
      </c>
      <c r="B156" s="4" t="s">
        <v>479</v>
      </c>
      <c r="C156" s="6" t="s">
        <v>52</v>
      </c>
      <c r="D156" s="12">
        <v>7.3586999999999998</v>
      </c>
      <c r="E156" s="12">
        <v>2.8235600000000001</v>
      </c>
      <c r="F156" s="12">
        <f t="shared" si="23"/>
        <v>2.6061780164048223</v>
      </c>
      <c r="G156" s="7">
        <f t="shared" si="24"/>
        <v>38.37036433065623</v>
      </c>
      <c r="H156" s="12">
        <f t="shared" si="22"/>
        <v>61.62963566934377</v>
      </c>
    </row>
    <row r="157" spans="1:8">
      <c r="A157" s="4" t="s">
        <v>478</v>
      </c>
      <c r="B157" s="4" t="s">
        <v>477</v>
      </c>
      <c r="C157" s="4" t="s">
        <v>474</v>
      </c>
      <c r="D157" s="12">
        <v>2.5099399999999998</v>
      </c>
      <c r="E157" s="12">
        <v>1.4801899999999999</v>
      </c>
      <c r="F157" s="12">
        <f t="shared" si="23"/>
        <v>1.6956877157662191</v>
      </c>
      <c r="G157" s="7">
        <f t="shared" si="24"/>
        <v>58.973122863494737</v>
      </c>
      <c r="H157" s="12">
        <f t="shared" si="22"/>
        <v>41.026877136505263</v>
      </c>
    </row>
    <row r="158" spans="1:8">
      <c r="A158" s="4" t="s">
        <v>476</v>
      </c>
      <c r="B158" s="4" t="s">
        <v>475</v>
      </c>
      <c r="C158" s="6" t="s">
        <v>474</v>
      </c>
      <c r="D158" s="12">
        <v>1.96454</v>
      </c>
      <c r="E158" s="12">
        <v>1.2608200000000001</v>
      </c>
      <c r="F158" s="12">
        <f t="shared" si="23"/>
        <v>1.5581446994812898</v>
      </c>
      <c r="G158" s="7">
        <f t="shared" si="24"/>
        <v>64.178891750740632</v>
      </c>
      <c r="H158" s="12">
        <f t="shared" si="22"/>
        <v>35.821108249259368</v>
      </c>
    </row>
    <row r="159" spans="1:8">
      <c r="A159" s="4" t="s">
        <v>546</v>
      </c>
      <c r="B159" s="4" t="s">
        <v>545</v>
      </c>
      <c r="C159" s="11" t="s">
        <v>544</v>
      </c>
      <c r="D159" s="12">
        <v>2.14331</v>
      </c>
      <c r="E159" s="12">
        <v>1.2298100000000001</v>
      </c>
      <c r="F159" s="12">
        <f t="shared" si="23"/>
        <v>1.7427976679324448</v>
      </c>
      <c r="G159" s="7">
        <f t="shared" si="24"/>
        <v>57.379007236470699</v>
      </c>
      <c r="H159" s="12">
        <f t="shared" si="22"/>
        <v>42.620992763529301</v>
      </c>
    </row>
    <row r="160" spans="1:8">
      <c r="A160" s="4" t="s">
        <v>627</v>
      </c>
      <c r="B160" s="4" t="s">
        <v>628</v>
      </c>
      <c r="C160" s="6" t="s">
        <v>53</v>
      </c>
      <c r="D160" s="12">
        <v>2.3787400000000001</v>
      </c>
      <c r="E160" s="12">
        <v>1.74857</v>
      </c>
      <c r="F160" s="12">
        <f t="shared" si="23"/>
        <v>1.3603916343068909</v>
      </c>
      <c r="G160" s="7">
        <f t="shared" si="24"/>
        <v>73.508243860194895</v>
      </c>
      <c r="H160" s="12">
        <f t="shared" si="22"/>
        <v>26.491756139805105</v>
      </c>
    </row>
    <row r="162" spans="1:8">
      <c r="A162" s="5" t="s">
        <v>54</v>
      </c>
    </row>
    <row r="163" spans="1:8" ht="15" customHeight="1">
      <c r="A163" s="4" t="s">
        <v>708</v>
      </c>
      <c r="B163" s="4" t="s">
        <v>707</v>
      </c>
      <c r="C163" s="4" t="s">
        <v>706</v>
      </c>
      <c r="D163" s="12">
        <v>1.9664999999999999</v>
      </c>
      <c r="E163" s="12">
        <v>1.3999200000000001</v>
      </c>
      <c r="F163" s="12">
        <f>D163/E163</f>
        <v>1.4047231270358305</v>
      </c>
      <c r="G163" s="7">
        <f t="shared" ref="G163:G176" si="25">E163*100/D163</f>
        <v>71.188405797101467</v>
      </c>
      <c r="H163" s="12">
        <f t="shared" ref="H163:H176" si="26">100-G163</f>
        <v>28.811594202898533</v>
      </c>
    </row>
    <row r="164" spans="1:8">
      <c r="A164" s="4" t="s">
        <v>346</v>
      </c>
      <c r="C164" s="4" t="s">
        <v>347</v>
      </c>
      <c r="D164" s="12">
        <v>1.8414699999999999</v>
      </c>
      <c r="E164" s="12">
        <v>1.1505799999999999</v>
      </c>
      <c r="F164" s="12">
        <f>D164/E164</f>
        <v>1.6004710667663267</v>
      </c>
      <c r="G164" s="7">
        <f t="shared" si="25"/>
        <v>62.481604370421458</v>
      </c>
      <c r="H164" s="12">
        <f t="shared" si="26"/>
        <v>37.518395629578542</v>
      </c>
    </row>
    <row r="165" spans="1:8">
      <c r="A165" s="4" t="s">
        <v>556</v>
      </c>
      <c r="B165" s="4" t="s">
        <v>557</v>
      </c>
      <c r="C165" s="4" t="s">
        <v>55</v>
      </c>
      <c r="D165" s="12">
        <v>3.8877000000000002</v>
      </c>
      <c r="E165" s="12">
        <v>1.50274</v>
      </c>
      <c r="F165" s="12">
        <f>D165/E165</f>
        <v>2.5870742776528211</v>
      </c>
      <c r="G165" s="7">
        <f t="shared" si="25"/>
        <v>38.653702703397897</v>
      </c>
      <c r="H165" s="12">
        <f t="shared" si="26"/>
        <v>61.346297296602103</v>
      </c>
    </row>
    <row r="166" spans="1:8" ht="30">
      <c r="A166" s="4" t="s">
        <v>127</v>
      </c>
      <c r="C166" s="6" t="s">
        <v>128</v>
      </c>
      <c r="D166" s="12">
        <v>2.5084399999999998</v>
      </c>
      <c r="E166" s="12">
        <v>1.5831999999999999</v>
      </c>
      <c r="F166" s="12">
        <f>D166/E166</f>
        <v>1.584411318847903</v>
      </c>
      <c r="G166" s="7">
        <f t="shared" si="25"/>
        <v>63.114924016520227</v>
      </c>
      <c r="H166" s="12">
        <f t="shared" si="26"/>
        <v>36.885075983479773</v>
      </c>
    </row>
    <row r="167" spans="1:8">
      <c r="A167" s="4" t="s">
        <v>295</v>
      </c>
      <c r="C167" s="6" t="s">
        <v>294</v>
      </c>
      <c r="D167" s="12">
        <v>4.12974</v>
      </c>
      <c r="E167" s="12">
        <v>2.8949099999999999</v>
      </c>
      <c r="F167" s="12">
        <f>D167/E167</f>
        <v>1.4265521207913201</v>
      </c>
      <c r="G167" s="7">
        <f t="shared" si="25"/>
        <v>70.099086141016144</v>
      </c>
      <c r="H167" s="12">
        <f t="shared" si="26"/>
        <v>29.900913858983856</v>
      </c>
    </row>
    <row r="168" spans="1:8">
      <c r="A168" s="4" t="s">
        <v>298</v>
      </c>
      <c r="B168" s="4" t="s">
        <v>297</v>
      </c>
      <c r="C168" s="4" t="s">
        <v>56</v>
      </c>
      <c r="D168" s="12">
        <v>2.1275200000000001</v>
      </c>
      <c r="E168" s="12">
        <v>-1.05776</v>
      </c>
      <c r="F168" s="12">
        <f>D168/-E168</f>
        <v>2.0113447284828316</v>
      </c>
      <c r="G168" s="7">
        <f t="shared" si="25"/>
        <v>-49.717981499586379</v>
      </c>
      <c r="H168" s="12">
        <f t="shared" si="26"/>
        <v>149.71798149958639</v>
      </c>
    </row>
    <row r="169" spans="1:8">
      <c r="A169" s="4" t="s">
        <v>219</v>
      </c>
      <c r="B169" s="4" t="s">
        <v>218</v>
      </c>
      <c r="C169" s="6" t="s">
        <v>57</v>
      </c>
      <c r="D169" s="12">
        <v>4.1794900000000004</v>
      </c>
      <c r="E169" s="12">
        <v>-1.0734999999999999</v>
      </c>
      <c r="F169" s="12">
        <f>D169/-E169</f>
        <v>3.8933302282254316</v>
      </c>
      <c r="G169" s="7">
        <f t="shared" si="25"/>
        <v>-25.684951991750186</v>
      </c>
      <c r="H169" s="12">
        <f t="shared" si="26"/>
        <v>125.68495199175018</v>
      </c>
    </row>
    <row r="170" spans="1:8">
      <c r="A170" s="4" t="s">
        <v>235</v>
      </c>
      <c r="C170" s="4" t="s">
        <v>421</v>
      </c>
      <c r="D170" s="12">
        <v>3.6173500000000001</v>
      </c>
      <c r="E170" s="12">
        <v>1.6535200000000001</v>
      </c>
      <c r="F170" s="12">
        <f t="shared" ref="F170:F176" si="27">D170/E170</f>
        <v>2.1876663118680146</v>
      </c>
      <c r="G170" s="7">
        <f t="shared" si="25"/>
        <v>45.710810399878362</v>
      </c>
      <c r="H170" s="12">
        <f t="shared" si="26"/>
        <v>54.289189600121638</v>
      </c>
    </row>
    <row r="171" spans="1:8">
      <c r="A171" s="4" t="s">
        <v>167</v>
      </c>
      <c r="C171" s="6" t="s">
        <v>168</v>
      </c>
      <c r="D171" s="12">
        <v>2.9274499999999999</v>
      </c>
      <c r="E171" s="12">
        <v>1.67405</v>
      </c>
      <c r="F171" s="12">
        <f t="shared" si="27"/>
        <v>1.7487231564170722</v>
      </c>
      <c r="G171" s="7">
        <f t="shared" si="25"/>
        <v>57.184580436899012</v>
      </c>
      <c r="H171" s="12">
        <f t="shared" si="26"/>
        <v>42.815419563100988</v>
      </c>
    </row>
    <row r="172" spans="1:8">
      <c r="A172" s="4" t="s">
        <v>169</v>
      </c>
      <c r="C172" s="4" t="s">
        <v>168</v>
      </c>
      <c r="D172" s="12">
        <v>3.5989200000000001</v>
      </c>
      <c r="E172" s="12">
        <v>2.2751299999999999</v>
      </c>
      <c r="F172" s="12">
        <f t="shared" si="27"/>
        <v>1.5818524655733959</v>
      </c>
      <c r="G172" s="7">
        <f t="shared" si="25"/>
        <v>63.21702066175407</v>
      </c>
      <c r="H172" s="12">
        <f t="shared" si="26"/>
        <v>36.78297933824593</v>
      </c>
    </row>
    <row r="173" spans="1:8">
      <c r="A173" s="4" t="s">
        <v>170</v>
      </c>
      <c r="C173" s="4" t="s">
        <v>168</v>
      </c>
      <c r="D173" s="12">
        <v>2.4051900000000002</v>
      </c>
      <c r="E173" s="12">
        <v>1.5581400000000001</v>
      </c>
      <c r="F173" s="12">
        <f t="shared" si="27"/>
        <v>1.5436289422003158</v>
      </c>
      <c r="G173" s="7">
        <f t="shared" si="25"/>
        <v>64.782408042607869</v>
      </c>
      <c r="H173" s="12">
        <f t="shared" si="26"/>
        <v>35.217591957392131</v>
      </c>
    </row>
    <row r="174" spans="1:8">
      <c r="A174" s="4" t="s">
        <v>171</v>
      </c>
      <c r="C174" s="4" t="s">
        <v>58</v>
      </c>
      <c r="D174" s="12">
        <v>3.4005700000000001</v>
      </c>
      <c r="E174" s="12">
        <v>1.3646799999999999</v>
      </c>
      <c r="F174" s="12">
        <f t="shared" si="27"/>
        <v>2.4918442418735531</v>
      </c>
      <c r="G174" s="7">
        <f t="shared" si="25"/>
        <v>40.130919228247024</v>
      </c>
      <c r="H174" s="12">
        <f t="shared" si="26"/>
        <v>59.869080771752976</v>
      </c>
    </row>
    <row r="175" spans="1:8">
      <c r="A175" s="4" t="s">
        <v>62</v>
      </c>
      <c r="B175" s="4" t="s">
        <v>61</v>
      </c>
      <c r="C175" s="8" t="s">
        <v>60</v>
      </c>
      <c r="D175" s="12">
        <v>2.6740400000000002</v>
      </c>
      <c r="E175" s="12">
        <v>1.8282700000000001</v>
      </c>
      <c r="F175" s="12">
        <f t="shared" si="27"/>
        <v>1.4626067265775844</v>
      </c>
      <c r="G175" s="7">
        <f t="shared" si="25"/>
        <v>68.371078966657194</v>
      </c>
      <c r="H175" s="12">
        <f t="shared" si="26"/>
        <v>31.628921033342806</v>
      </c>
    </row>
    <row r="176" spans="1:8">
      <c r="A176" s="4" t="s">
        <v>59</v>
      </c>
      <c r="C176" s="6" t="s">
        <v>359</v>
      </c>
      <c r="D176" s="12">
        <v>2.2641900000000001</v>
      </c>
      <c r="E176" s="12">
        <v>1.5682</v>
      </c>
      <c r="F176" s="12">
        <f t="shared" si="27"/>
        <v>1.4438145644688178</v>
      </c>
      <c r="G176" s="7">
        <f t="shared" si="25"/>
        <v>69.260971914901134</v>
      </c>
      <c r="H176" s="12">
        <f t="shared" si="26"/>
        <v>30.739028085098866</v>
      </c>
    </row>
    <row r="177" spans="1:8">
      <c r="G177" s="7"/>
    </row>
    <row r="178" spans="1:8">
      <c r="A178" s="5" t="s">
        <v>1</v>
      </c>
      <c r="G178" s="7"/>
    </row>
    <row r="179" spans="1:8">
      <c r="A179" s="4" t="s">
        <v>301</v>
      </c>
      <c r="B179" s="4" t="s">
        <v>300</v>
      </c>
      <c r="C179" s="6" t="s">
        <v>299</v>
      </c>
      <c r="D179" s="12">
        <v>3.9626999999999999</v>
      </c>
      <c r="E179" s="12">
        <v>1.45279</v>
      </c>
      <c r="F179" s="12">
        <f>D179/E179</f>
        <v>2.7276481803977175</v>
      </c>
      <c r="G179" s="7">
        <f>E179*100/D179</f>
        <v>36.661619602796073</v>
      </c>
      <c r="H179" s="12">
        <f>100-G179</f>
        <v>63.338380397203927</v>
      </c>
    </row>
    <row r="180" spans="1:8">
      <c r="A180" s="4" t="s">
        <v>211</v>
      </c>
      <c r="B180" s="4" t="s">
        <v>212</v>
      </c>
      <c r="C180" s="6" t="s">
        <v>213</v>
      </c>
      <c r="D180" s="12">
        <v>1.5506599999999999</v>
      </c>
      <c r="E180" s="12">
        <v>1.11849</v>
      </c>
      <c r="F180" s="12">
        <f>D180/E180</f>
        <v>1.3863870039070532</v>
      </c>
      <c r="G180" s="7">
        <f>E180*100/D180</f>
        <v>72.129931770987838</v>
      </c>
      <c r="H180" s="12">
        <f>100-G180</f>
        <v>27.870068229012162</v>
      </c>
    </row>
    <row r="181" spans="1:8">
      <c r="A181" s="4" t="s">
        <v>214</v>
      </c>
      <c r="B181" s="4" t="s">
        <v>300</v>
      </c>
      <c r="C181" s="6"/>
      <c r="D181" s="12">
        <v>4.5633499999999998</v>
      </c>
      <c r="E181" s="12">
        <v>1.38486</v>
      </c>
      <c r="F181" s="12">
        <f>D181/E181</f>
        <v>3.2951706309663069</v>
      </c>
      <c r="G181" s="7">
        <f>E181*100/D181</f>
        <v>30.347442120372094</v>
      </c>
      <c r="H181" s="12">
        <f>100-G181</f>
        <v>69.652557879627906</v>
      </c>
    </row>
    <row r="182" spans="1:8">
      <c r="A182" s="4" t="s">
        <v>174</v>
      </c>
      <c r="B182" s="4" t="s">
        <v>175</v>
      </c>
      <c r="C182" s="6" t="s">
        <v>176</v>
      </c>
      <c r="D182" s="12">
        <v>1.5741000000000001</v>
      </c>
      <c r="E182" s="12">
        <v>1.0898699999999999</v>
      </c>
      <c r="F182" s="12">
        <f>D182/E182</f>
        <v>1.4443006964133338</v>
      </c>
      <c r="G182" s="7">
        <f>E182*100/D182</f>
        <v>69.237659615018103</v>
      </c>
      <c r="H182" s="12">
        <f>100-G182</f>
        <v>30.762340384981897</v>
      </c>
    </row>
    <row r="183" spans="1:8">
      <c r="C183" s="6"/>
      <c r="G183" s="7"/>
    </row>
    <row r="184" spans="1:8">
      <c r="A184" s="5" t="s">
        <v>2</v>
      </c>
    </row>
    <row r="185" spans="1:8">
      <c r="A185" s="4" t="s">
        <v>418</v>
      </c>
      <c r="B185" s="4" t="s">
        <v>419</v>
      </c>
      <c r="C185" s="4" t="s">
        <v>420</v>
      </c>
      <c r="D185" s="12">
        <v>3.5005299999999999</v>
      </c>
      <c r="E185" s="12">
        <v>2.2274699999999998</v>
      </c>
      <c r="F185" s="12">
        <v>1.5715273381908619</v>
      </c>
      <c r="G185" s="7">
        <v>63.63236424198621</v>
      </c>
      <c r="H185" s="12">
        <v>36.36763575801379</v>
      </c>
    </row>
    <row r="186" spans="1:8">
      <c r="A186" s="4" t="s">
        <v>70</v>
      </c>
      <c r="C186" s="6" t="s">
        <v>69</v>
      </c>
      <c r="D186" s="12">
        <v>2.3436499999999998</v>
      </c>
      <c r="E186" s="12">
        <v>1.2226300000000001</v>
      </c>
      <c r="F186" s="12">
        <f t="shared" ref="F186:F193" si="28">D186/E186</f>
        <v>1.9168922732142999</v>
      </c>
      <c r="G186" s="7">
        <f t="shared" ref="G186:G193" si="29">E186*100/D186</f>
        <v>52.167772491626316</v>
      </c>
      <c r="H186" s="12">
        <f t="shared" ref="H186:H193" si="30">100-G186</f>
        <v>47.832227508373684</v>
      </c>
    </row>
    <row r="187" spans="1:8">
      <c r="A187" s="4" t="s">
        <v>3</v>
      </c>
      <c r="B187" s="4" t="s">
        <v>172</v>
      </c>
      <c r="C187" s="6" t="s">
        <v>173</v>
      </c>
      <c r="D187" s="12">
        <v>3.0851899999999999</v>
      </c>
      <c r="E187" s="12">
        <v>1.5445599999999999</v>
      </c>
      <c r="F187" s="12">
        <f t="shared" si="28"/>
        <v>1.9974555860568706</v>
      </c>
      <c r="G187" s="7">
        <f t="shared" si="29"/>
        <v>50.063691377192328</v>
      </c>
      <c r="H187" s="12">
        <f t="shared" si="30"/>
        <v>49.936308622807672</v>
      </c>
    </row>
    <row r="188" spans="1:8">
      <c r="A188" s="4" t="s">
        <v>620</v>
      </c>
      <c r="B188" s="4" t="s">
        <v>4</v>
      </c>
      <c r="C188" s="4" t="s">
        <v>705</v>
      </c>
      <c r="D188" s="12">
        <v>3.1369099999999999</v>
      </c>
      <c r="E188" s="12">
        <v>1.96309</v>
      </c>
      <c r="F188" s="12">
        <f t="shared" si="28"/>
        <v>1.5979450763846792</v>
      </c>
      <c r="G188" s="7">
        <f t="shared" si="29"/>
        <v>62.580373679831432</v>
      </c>
      <c r="H188" s="12">
        <f t="shared" si="30"/>
        <v>37.419626320168568</v>
      </c>
    </row>
    <row r="189" spans="1:8">
      <c r="A189" s="4" t="s">
        <v>704</v>
      </c>
      <c r="B189" s="4" t="s">
        <v>703</v>
      </c>
      <c r="C189" s="6" t="s">
        <v>621</v>
      </c>
      <c r="D189" s="12">
        <v>2.64655</v>
      </c>
      <c r="E189" s="12">
        <v>1.28139</v>
      </c>
      <c r="F189" s="12">
        <f t="shared" si="28"/>
        <v>2.0653743200742944</v>
      </c>
      <c r="G189" s="7">
        <f t="shared" si="29"/>
        <v>48.417373561806883</v>
      </c>
      <c r="H189" s="12">
        <f t="shared" si="30"/>
        <v>51.582626438193117</v>
      </c>
    </row>
    <row r="190" spans="1:8">
      <c r="A190" s="4" t="s">
        <v>439</v>
      </c>
      <c r="B190" s="4" t="s">
        <v>5</v>
      </c>
      <c r="C190" s="6" t="s">
        <v>10</v>
      </c>
      <c r="D190" s="12">
        <v>3.9157099999999998</v>
      </c>
      <c r="E190" s="12">
        <v>1.67099</v>
      </c>
      <c r="F190" s="12">
        <f t="shared" si="28"/>
        <v>2.3433473569560559</v>
      </c>
      <c r="G190" s="7">
        <f t="shared" si="29"/>
        <v>42.673997819041759</v>
      </c>
      <c r="H190" s="12">
        <f t="shared" si="30"/>
        <v>57.326002180958241</v>
      </c>
    </row>
    <row r="191" spans="1:8">
      <c r="A191" s="4" t="s">
        <v>438</v>
      </c>
      <c r="B191" s="4" t="s">
        <v>7</v>
      </c>
      <c r="C191" s="6" t="s">
        <v>6</v>
      </c>
      <c r="D191" s="12">
        <v>1.6214500000000001</v>
      </c>
      <c r="E191" s="12">
        <v>1.0528599999999999</v>
      </c>
      <c r="F191" s="12">
        <f t="shared" si="28"/>
        <v>1.5400433106015996</v>
      </c>
      <c r="G191" s="7">
        <f t="shared" si="29"/>
        <v>64.933238767769581</v>
      </c>
      <c r="H191" s="12">
        <f t="shared" si="30"/>
        <v>35.066761232230419</v>
      </c>
    </row>
    <row r="192" spans="1:8">
      <c r="A192" s="4" t="s">
        <v>296</v>
      </c>
      <c r="C192" s="4" t="s">
        <v>8</v>
      </c>
      <c r="D192" s="12">
        <v>2.5039799999999999</v>
      </c>
      <c r="E192" s="12">
        <v>1.26441</v>
      </c>
      <c r="F192" s="12">
        <f t="shared" si="28"/>
        <v>1.9803544736280161</v>
      </c>
      <c r="G192" s="7">
        <f t="shared" si="29"/>
        <v>50.496010351520383</v>
      </c>
      <c r="H192" s="12">
        <f t="shared" si="30"/>
        <v>49.503989648479617</v>
      </c>
    </row>
    <row r="193" spans="1:8">
      <c r="A193" s="4" t="s">
        <v>221</v>
      </c>
      <c r="C193" s="4" t="s">
        <v>220</v>
      </c>
      <c r="D193" s="12">
        <v>1.3844799999999999</v>
      </c>
      <c r="E193" s="12">
        <v>1.0327599999999999</v>
      </c>
      <c r="F193" s="12">
        <f t="shared" si="28"/>
        <v>1.3405631511677447</v>
      </c>
      <c r="G193" s="7">
        <f t="shared" si="29"/>
        <v>74.595516006009476</v>
      </c>
      <c r="H193" s="12">
        <f t="shared" si="30"/>
        <v>25.404483993990524</v>
      </c>
    </row>
    <row r="195" spans="1:8">
      <c r="A195" s="5" t="s">
        <v>9</v>
      </c>
    </row>
    <row r="196" spans="1:8">
      <c r="A196" s="4" t="s">
        <v>3</v>
      </c>
      <c r="B196" s="4" t="s">
        <v>172</v>
      </c>
      <c r="C196" s="6" t="s">
        <v>173</v>
      </c>
      <c r="D196" s="12">
        <v>3.0851899999999999</v>
      </c>
      <c r="E196" s="12">
        <v>1.5445599999999999</v>
      </c>
      <c r="F196" s="12">
        <f t="shared" ref="F196:F203" si="31">D196/E196</f>
        <v>1.9974555860568706</v>
      </c>
      <c r="G196" s="7">
        <f t="shared" ref="G196:G203" si="32">E196*100/D196</f>
        <v>50.063691377192328</v>
      </c>
      <c r="H196" s="12">
        <f t="shared" ref="H196:H203" si="33">100-G196</f>
        <v>49.936308622807672</v>
      </c>
    </row>
    <row r="197" spans="1:8">
      <c r="A197" s="4" t="s">
        <v>620</v>
      </c>
      <c r="B197" s="4" t="s">
        <v>4</v>
      </c>
      <c r="C197" s="4" t="s">
        <v>705</v>
      </c>
      <c r="D197" s="12">
        <v>3.1369099999999999</v>
      </c>
      <c r="E197" s="12">
        <v>1.96309</v>
      </c>
      <c r="F197" s="12">
        <f t="shared" si="31"/>
        <v>1.5979450763846792</v>
      </c>
      <c r="G197" s="7">
        <f t="shared" si="32"/>
        <v>62.580373679831432</v>
      </c>
      <c r="H197" s="12">
        <f t="shared" si="33"/>
        <v>37.419626320168568</v>
      </c>
    </row>
    <row r="198" spans="1:8">
      <c r="A198" s="4" t="s">
        <v>704</v>
      </c>
      <c r="B198" s="4" t="s">
        <v>703</v>
      </c>
      <c r="C198" s="6" t="s">
        <v>621</v>
      </c>
      <c r="D198" s="12">
        <v>2.64655</v>
      </c>
      <c r="E198" s="12">
        <v>1.28139</v>
      </c>
      <c r="F198" s="12">
        <f t="shared" si="31"/>
        <v>2.0653743200742944</v>
      </c>
      <c r="G198" s="7">
        <f t="shared" si="32"/>
        <v>48.417373561806883</v>
      </c>
      <c r="H198" s="12">
        <f t="shared" si="33"/>
        <v>51.582626438193117</v>
      </c>
    </row>
    <row r="199" spans="1:8">
      <c r="A199" s="4" t="s">
        <v>439</v>
      </c>
      <c r="B199" s="4" t="s">
        <v>5</v>
      </c>
      <c r="C199" s="6" t="s">
        <v>46</v>
      </c>
      <c r="D199" s="12">
        <v>3.9157099999999998</v>
      </c>
      <c r="E199" s="12">
        <v>1.67099</v>
      </c>
      <c r="F199" s="12">
        <f t="shared" si="31"/>
        <v>2.3433473569560559</v>
      </c>
      <c r="G199" s="7">
        <f t="shared" si="32"/>
        <v>42.673997819041759</v>
      </c>
      <c r="H199" s="12">
        <f t="shared" si="33"/>
        <v>57.326002180958241</v>
      </c>
    </row>
    <row r="200" spans="1:8">
      <c r="A200" s="4" t="s">
        <v>438</v>
      </c>
      <c r="B200" s="4" t="s">
        <v>7</v>
      </c>
      <c r="C200" s="6" t="s">
        <v>47</v>
      </c>
      <c r="D200" s="12">
        <v>1.6214500000000001</v>
      </c>
      <c r="E200" s="12">
        <v>1.0528599999999999</v>
      </c>
      <c r="F200" s="12">
        <f t="shared" si="31"/>
        <v>1.5400433106015996</v>
      </c>
      <c r="G200" s="7">
        <f t="shared" si="32"/>
        <v>64.933238767769581</v>
      </c>
      <c r="H200" s="12">
        <f t="shared" si="33"/>
        <v>35.066761232230419</v>
      </c>
    </row>
    <row r="201" spans="1:8">
      <c r="A201" s="4" t="s">
        <v>296</v>
      </c>
      <c r="C201" s="4" t="s">
        <v>8</v>
      </c>
      <c r="D201" s="12">
        <v>2.5039799999999999</v>
      </c>
      <c r="E201" s="12">
        <v>1.26441</v>
      </c>
      <c r="F201" s="12">
        <f t="shared" si="31"/>
        <v>1.9803544736280161</v>
      </c>
      <c r="G201" s="7">
        <f t="shared" si="32"/>
        <v>50.496010351520383</v>
      </c>
      <c r="H201" s="12">
        <f t="shared" si="33"/>
        <v>49.503989648479617</v>
      </c>
    </row>
    <row r="202" spans="1:8">
      <c r="A202" s="4" t="s">
        <v>221</v>
      </c>
      <c r="C202" s="4" t="s">
        <v>220</v>
      </c>
      <c r="D202" s="12">
        <v>1.3844799999999999</v>
      </c>
      <c r="E202" s="12">
        <v>1.0327599999999999</v>
      </c>
      <c r="F202" s="12">
        <f t="shared" si="31"/>
        <v>1.3405631511677447</v>
      </c>
      <c r="G202" s="7">
        <f t="shared" si="32"/>
        <v>74.595516006009476</v>
      </c>
      <c r="H202" s="12">
        <f t="shared" si="33"/>
        <v>25.404483993990524</v>
      </c>
    </row>
    <row r="203" spans="1:8">
      <c r="A203" s="4" t="s">
        <v>70</v>
      </c>
      <c r="C203" s="6" t="s">
        <v>69</v>
      </c>
      <c r="D203" s="12">
        <v>2.3436499999999998</v>
      </c>
      <c r="E203" s="12">
        <v>1.2226300000000001</v>
      </c>
      <c r="F203" s="12">
        <f t="shared" si="31"/>
        <v>1.9168922732142999</v>
      </c>
      <c r="G203" s="7">
        <f t="shared" si="32"/>
        <v>52.167772491626316</v>
      </c>
      <c r="H203" s="12">
        <f t="shared" si="33"/>
        <v>47.832227508373684</v>
      </c>
    </row>
    <row r="204" spans="1:8">
      <c r="C204" s="6"/>
      <c r="G204" s="7"/>
    </row>
    <row r="205" spans="1:8">
      <c r="A205" s="5" t="s">
        <v>11</v>
      </c>
    </row>
    <row r="206" spans="1:8">
      <c r="A206" s="4" t="s">
        <v>348</v>
      </c>
      <c r="C206" s="4" t="s">
        <v>349</v>
      </c>
      <c r="D206" s="12">
        <v>2.0764499999999999</v>
      </c>
      <c r="E206" s="12">
        <v>1.53671</v>
      </c>
      <c r="F206" s="12">
        <v>1.3512308763527272</v>
      </c>
      <c r="G206" s="7">
        <v>74.006597799128315</v>
      </c>
      <c r="H206" s="12">
        <v>25.993402200871682</v>
      </c>
    </row>
    <row r="207" spans="1:8">
      <c r="A207" s="4" t="s">
        <v>125</v>
      </c>
      <c r="C207" s="4" t="s">
        <v>12</v>
      </c>
      <c r="D207" s="12">
        <v>3.6147499999999999</v>
      </c>
      <c r="E207" s="12">
        <v>2.1961499999999998</v>
      </c>
      <c r="F207" s="12">
        <f>D207/E207</f>
        <v>1.6459485918539263</v>
      </c>
      <c r="G207" s="7">
        <f>E207*100/D207</f>
        <v>60.755238951518081</v>
      </c>
      <c r="H207" s="12">
        <f>100-G207</f>
        <v>39.244761048481919</v>
      </c>
    </row>
    <row r="208" spans="1:8">
      <c r="A208" s="4" t="s">
        <v>458</v>
      </c>
      <c r="C208" s="4" t="s">
        <v>13</v>
      </c>
      <c r="D208" s="12">
        <v>2.6299600000000001</v>
      </c>
      <c r="E208" s="12">
        <v>1.75902</v>
      </c>
      <c r="F208" s="12">
        <f>D208/E208</f>
        <v>1.495127968982729</v>
      </c>
      <c r="G208" s="7">
        <f>E208*100/D208</f>
        <v>66.883906979573837</v>
      </c>
      <c r="H208" s="12">
        <f>100-G208</f>
        <v>33.116093020426163</v>
      </c>
    </row>
    <row r="210" spans="1:8">
      <c r="A210" s="5" t="s">
        <v>14</v>
      </c>
    </row>
    <row r="211" spans="1:8">
      <c r="A211" s="4" t="s">
        <v>71</v>
      </c>
      <c r="B211" s="4" t="s">
        <v>72</v>
      </c>
      <c r="C211" s="4" t="s">
        <v>73</v>
      </c>
      <c r="D211" s="12">
        <v>1.49966</v>
      </c>
      <c r="E211" s="12">
        <v>-1.0907800000000001</v>
      </c>
      <c r="F211" s="12">
        <v>1.3748510240378442</v>
      </c>
      <c r="G211" s="7">
        <v>-72.735153301414996</v>
      </c>
      <c r="H211" s="12">
        <v>172.73515330141501</v>
      </c>
    </row>
    <row r="212" spans="1:8">
      <c r="A212" s="4" t="s">
        <v>377</v>
      </c>
      <c r="C212" s="4" t="s">
        <v>376</v>
      </c>
      <c r="D212" s="12">
        <v>3.70105</v>
      </c>
      <c r="E212" s="12">
        <v>1.94417</v>
      </c>
      <c r="F212" s="12">
        <f>D212/E212</f>
        <v>1.903665831691673</v>
      </c>
      <c r="G212" s="7">
        <f>E212*100/D212</f>
        <v>52.530227908296297</v>
      </c>
      <c r="H212" s="12">
        <f>100-G212</f>
        <v>47.469772091703703</v>
      </c>
    </row>
    <row r="213" spans="1:8">
      <c r="A213" s="4" t="s">
        <v>142</v>
      </c>
      <c r="C213" s="6" t="s">
        <v>141</v>
      </c>
      <c r="D213" s="12">
        <v>1.6407400000000001</v>
      </c>
      <c r="E213" s="12">
        <v>1.0286999999999999</v>
      </c>
      <c r="F213" s="12">
        <f>D213/E213</f>
        <v>1.5949645183240986</v>
      </c>
      <c r="G213" s="7">
        <f>E213*100/D213</f>
        <v>62.697319502175837</v>
      </c>
      <c r="H213" s="12">
        <f>100-G213</f>
        <v>37.302680497824163</v>
      </c>
    </row>
    <row r="214" spans="1:8">
      <c r="A214" s="4" t="s">
        <v>140</v>
      </c>
      <c r="C214" s="4" t="s">
        <v>15</v>
      </c>
      <c r="D214" s="12">
        <v>2.2244700000000002</v>
      </c>
      <c r="E214" s="12">
        <v>1.14571</v>
      </c>
      <c r="F214" s="12">
        <f>D214/E214</f>
        <v>1.941564619319025</v>
      </c>
      <c r="G214" s="7">
        <f>E214*100/D214</f>
        <v>51.504852841350967</v>
      </c>
      <c r="H214" s="12">
        <f>100-G214</f>
        <v>48.495147158649033</v>
      </c>
    </row>
    <row r="216" spans="1:8">
      <c r="A216" s="5" t="s">
        <v>107</v>
      </c>
    </row>
    <row r="217" spans="1:8">
      <c r="A217" s="4" t="s">
        <v>350</v>
      </c>
      <c r="B217" s="4" t="s">
        <v>351</v>
      </c>
      <c r="C217" s="4" t="s">
        <v>352</v>
      </c>
      <c r="D217" s="12">
        <v>1.6634500000000001</v>
      </c>
      <c r="E217" s="12">
        <v>1.14209</v>
      </c>
      <c r="F217" s="12">
        <f t="shared" ref="F217:F235" si="34">D217/E217</f>
        <v>1.4564964232240891</v>
      </c>
      <c r="G217" s="7">
        <f t="shared" ref="G217:G235" si="35">E217*100/D217</f>
        <v>68.657909765848089</v>
      </c>
      <c r="H217" s="12">
        <f t="shared" ref="H217:H235" si="36">100-G217</f>
        <v>31.342090234151911</v>
      </c>
    </row>
    <row r="218" spans="1:8">
      <c r="A218" s="4" t="s">
        <v>353</v>
      </c>
      <c r="B218" s="4" t="s">
        <v>354</v>
      </c>
      <c r="C218" s="6" t="s">
        <v>108</v>
      </c>
      <c r="D218" s="12">
        <v>2.3629199999999999</v>
      </c>
      <c r="E218" s="12">
        <v>1.54104</v>
      </c>
      <c r="F218" s="12">
        <f t="shared" si="34"/>
        <v>1.5333281420339511</v>
      </c>
      <c r="G218" s="7">
        <f t="shared" si="35"/>
        <v>65.217612107053981</v>
      </c>
      <c r="H218" s="12">
        <f t="shared" si="36"/>
        <v>34.782387892946019</v>
      </c>
    </row>
    <row r="219" spans="1:8">
      <c r="A219" s="4" t="s">
        <v>355</v>
      </c>
      <c r="B219" s="4" t="s">
        <v>354</v>
      </c>
      <c r="C219" s="8" t="s">
        <v>551</v>
      </c>
      <c r="D219" s="12">
        <v>2.3011400000000002</v>
      </c>
      <c r="E219" s="12">
        <v>1.5605899999999999</v>
      </c>
      <c r="F219" s="12">
        <f t="shared" si="34"/>
        <v>1.4745320679999232</v>
      </c>
      <c r="G219" s="7">
        <f t="shared" si="35"/>
        <v>67.818124929382819</v>
      </c>
      <c r="H219" s="12">
        <f t="shared" si="36"/>
        <v>32.181875070617181</v>
      </c>
    </row>
    <row r="220" spans="1:8">
      <c r="A220" s="4" t="s">
        <v>552</v>
      </c>
      <c r="B220" s="4" t="s">
        <v>553</v>
      </c>
      <c r="C220" s="4" t="s">
        <v>554</v>
      </c>
      <c r="D220" s="12">
        <v>2.0031599999999998</v>
      </c>
      <c r="E220" s="12">
        <v>1.1814</v>
      </c>
      <c r="F220" s="12">
        <f t="shared" si="34"/>
        <v>1.6955815134586083</v>
      </c>
      <c r="G220" s="7">
        <f t="shared" si="35"/>
        <v>58.976816629725043</v>
      </c>
      <c r="H220" s="12">
        <f t="shared" si="36"/>
        <v>41.023183370274957</v>
      </c>
    </row>
    <row r="221" spans="1:8">
      <c r="A221" s="4" t="s">
        <v>555</v>
      </c>
      <c r="B221" s="4" t="s">
        <v>109</v>
      </c>
      <c r="C221" s="4" t="s">
        <v>554</v>
      </c>
      <c r="D221" s="12">
        <v>2.1630199999999999</v>
      </c>
      <c r="E221" s="12">
        <v>1.36399</v>
      </c>
      <c r="F221" s="12">
        <f t="shared" si="34"/>
        <v>1.5858034149810483</v>
      </c>
      <c r="G221" s="7">
        <f t="shared" si="35"/>
        <v>63.059518635981178</v>
      </c>
      <c r="H221" s="12">
        <f t="shared" si="36"/>
        <v>36.940481364018822</v>
      </c>
    </row>
    <row r="222" spans="1:8">
      <c r="A222" s="4" t="s">
        <v>126</v>
      </c>
      <c r="C222" s="6" t="s">
        <v>110</v>
      </c>
      <c r="D222" s="12">
        <v>1.9429099999999999</v>
      </c>
      <c r="E222" s="12">
        <v>1.1263700000000001</v>
      </c>
      <c r="F222" s="12">
        <f t="shared" si="34"/>
        <v>1.72493052904463</v>
      </c>
      <c r="G222" s="7">
        <f t="shared" si="35"/>
        <v>57.973349254468822</v>
      </c>
      <c r="H222" s="12">
        <f t="shared" si="36"/>
        <v>42.026650745531178</v>
      </c>
    </row>
    <row r="223" spans="1:8">
      <c r="A223" s="8" t="s">
        <v>462</v>
      </c>
      <c r="B223" s="4" t="s">
        <v>461</v>
      </c>
      <c r="C223" s="4" t="s">
        <v>111</v>
      </c>
      <c r="D223" s="12">
        <v>2.4964400000000002</v>
      </c>
      <c r="E223" s="12">
        <v>1.4216500000000001</v>
      </c>
      <c r="F223" s="12">
        <f t="shared" si="34"/>
        <v>1.7560158970210671</v>
      </c>
      <c r="G223" s="7">
        <f t="shared" si="35"/>
        <v>56.947092659947771</v>
      </c>
      <c r="H223" s="12">
        <f t="shared" si="36"/>
        <v>43.052907340052229</v>
      </c>
    </row>
    <row r="224" spans="1:8">
      <c r="A224" s="4" t="s">
        <v>465</v>
      </c>
      <c r="B224" s="4" t="s">
        <v>464</v>
      </c>
      <c r="C224" s="6" t="s">
        <v>463</v>
      </c>
      <c r="D224" s="12">
        <v>2.6703899999999998</v>
      </c>
      <c r="E224" s="12">
        <v>1.86215</v>
      </c>
      <c r="F224" s="12">
        <f t="shared" si="34"/>
        <v>1.4340359262143221</v>
      </c>
      <c r="G224" s="7">
        <f t="shared" si="35"/>
        <v>69.73325993581463</v>
      </c>
      <c r="H224" s="12">
        <f t="shared" si="36"/>
        <v>30.26674006418537</v>
      </c>
    </row>
    <row r="225" spans="1:8">
      <c r="A225" s="4" t="s">
        <v>293</v>
      </c>
      <c r="C225" s="4" t="s">
        <v>292</v>
      </c>
      <c r="D225" s="12">
        <v>2.0484800000000001</v>
      </c>
      <c r="E225" s="12">
        <v>1.3920699999999999</v>
      </c>
      <c r="F225" s="12">
        <f t="shared" si="34"/>
        <v>1.4715351957875682</v>
      </c>
      <c r="G225" s="7">
        <f t="shared" si="35"/>
        <v>67.95624072483011</v>
      </c>
      <c r="H225" s="12">
        <f t="shared" si="36"/>
        <v>32.04375927516989</v>
      </c>
    </row>
    <row r="226" spans="1:8">
      <c r="A226" s="4" t="s">
        <v>240</v>
      </c>
      <c r="B226" s="4" t="s">
        <v>239</v>
      </c>
      <c r="C226" s="4" t="s">
        <v>238</v>
      </c>
      <c r="D226" s="12">
        <v>2.0942400000000001</v>
      </c>
      <c r="E226" s="12">
        <v>1.3142400000000001</v>
      </c>
      <c r="F226" s="12">
        <f t="shared" si="34"/>
        <v>1.5934989043097152</v>
      </c>
      <c r="G226" s="7">
        <f t="shared" si="35"/>
        <v>62.754985101994038</v>
      </c>
      <c r="H226" s="12">
        <f t="shared" si="36"/>
        <v>37.245014898005962</v>
      </c>
    </row>
    <row r="227" spans="1:8">
      <c r="A227" s="4" t="s">
        <v>245</v>
      </c>
      <c r="B227" s="4" t="s">
        <v>244</v>
      </c>
      <c r="C227" s="4" t="s">
        <v>243</v>
      </c>
      <c r="D227" s="12">
        <v>2.1475200000000001</v>
      </c>
      <c r="E227" s="12">
        <v>1.43781</v>
      </c>
      <c r="F227" s="12">
        <f t="shared" si="34"/>
        <v>1.4936048573872764</v>
      </c>
      <c r="G227" s="7">
        <f t="shared" si="35"/>
        <v>66.952112203844436</v>
      </c>
      <c r="H227" s="12">
        <f t="shared" si="36"/>
        <v>33.047887796155564</v>
      </c>
    </row>
    <row r="228" spans="1:8">
      <c r="A228" s="4" t="s">
        <v>166</v>
      </c>
      <c r="C228" s="4" t="s">
        <v>165</v>
      </c>
      <c r="D228" s="12">
        <v>1.93466</v>
      </c>
      <c r="E228" s="12">
        <v>1.3336399999999999</v>
      </c>
      <c r="F228" s="12">
        <f t="shared" si="34"/>
        <v>1.4506613478899855</v>
      </c>
      <c r="G228" s="7">
        <f t="shared" si="35"/>
        <v>68.934076271799697</v>
      </c>
      <c r="H228" s="12">
        <f t="shared" si="36"/>
        <v>31.065923728200303</v>
      </c>
    </row>
    <row r="229" spans="1:8">
      <c r="A229" s="4" t="s">
        <v>178</v>
      </c>
      <c r="C229" s="4" t="s">
        <v>177</v>
      </c>
      <c r="D229" s="12">
        <v>4.7549000000000001</v>
      </c>
      <c r="E229" s="12">
        <v>2.0129100000000002</v>
      </c>
      <c r="F229" s="12">
        <f t="shared" si="34"/>
        <v>2.3622019861792132</v>
      </c>
      <c r="G229" s="7">
        <f t="shared" si="35"/>
        <v>42.33338240551852</v>
      </c>
      <c r="H229" s="12">
        <f t="shared" si="36"/>
        <v>57.66661759448148</v>
      </c>
    </row>
    <row r="230" spans="1:8">
      <c r="A230" s="4" t="s">
        <v>180</v>
      </c>
      <c r="B230" s="4" t="s">
        <v>179</v>
      </c>
      <c r="C230" s="6" t="s">
        <v>112</v>
      </c>
      <c r="D230" s="12">
        <v>2.8190499999999998</v>
      </c>
      <c r="E230" s="12">
        <v>1.0303899999999999</v>
      </c>
      <c r="F230" s="12">
        <f t="shared" si="34"/>
        <v>2.7359058220673727</v>
      </c>
      <c r="G230" s="7">
        <f t="shared" si="35"/>
        <v>36.550965750873516</v>
      </c>
      <c r="H230" s="12">
        <f t="shared" si="36"/>
        <v>63.449034249126484</v>
      </c>
    </row>
    <row r="231" spans="1:8">
      <c r="A231" s="4" t="s">
        <v>358</v>
      </c>
      <c r="B231" s="4" t="s">
        <v>357</v>
      </c>
      <c r="C231" s="4" t="s">
        <v>356</v>
      </c>
      <c r="D231" s="12">
        <v>2.2964099999999998</v>
      </c>
      <c r="E231" s="12">
        <v>1.66788</v>
      </c>
      <c r="F231" s="12">
        <f t="shared" si="34"/>
        <v>1.376843657817109</v>
      </c>
      <c r="G231" s="7">
        <f t="shared" si="35"/>
        <v>72.629887520085703</v>
      </c>
      <c r="H231" s="12">
        <f t="shared" si="36"/>
        <v>27.370112479914297</v>
      </c>
    </row>
    <row r="232" spans="1:8">
      <c r="A232" s="4" t="s">
        <v>183</v>
      </c>
      <c r="B232" s="4" t="s">
        <v>182</v>
      </c>
      <c r="C232" s="10" t="s">
        <v>181</v>
      </c>
      <c r="D232" s="12">
        <v>2.5328599999999999</v>
      </c>
      <c r="E232" s="12">
        <v>1.29345</v>
      </c>
      <c r="F232" s="12">
        <f t="shared" si="34"/>
        <v>1.9582202636360122</v>
      </c>
      <c r="G232" s="7">
        <f t="shared" si="35"/>
        <v>51.066778266465576</v>
      </c>
      <c r="H232" s="12">
        <f t="shared" si="36"/>
        <v>48.933221733534424</v>
      </c>
    </row>
    <row r="233" spans="1:8">
      <c r="A233" s="4" t="s">
        <v>65</v>
      </c>
      <c r="B233" s="4" t="s">
        <v>64</v>
      </c>
      <c r="C233" s="4" t="s">
        <v>63</v>
      </c>
      <c r="D233" s="12">
        <v>1.93398</v>
      </c>
      <c r="E233" s="12">
        <v>1.3134399999999999</v>
      </c>
      <c r="F233" s="12">
        <f t="shared" si="34"/>
        <v>1.4724540138871971</v>
      </c>
      <c r="G233" s="7">
        <f t="shared" si="35"/>
        <v>67.913835717018785</v>
      </c>
      <c r="H233" s="12">
        <f t="shared" si="36"/>
        <v>32.086164282981215</v>
      </c>
    </row>
    <row r="234" spans="1:8">
      <c r="A234" s="4" t="s">
        <v>380</v>
      </c>
      <c r="B234" s="4" t="s">
        <v>379</v>
      </c>
      <c r="C234" s="8" t="s">
        <v>378</v>
      </c>
      <c r="D234" s="12">
        <v>2.1896599999999999</v>
      </c>
      <c r="E234" s="12">
        <v>1.2658700000000001</v>
      </c>
      <c r="F234" s="12">
        <f t="shared" si="34"/>
        <v>1.7297668796953873</v>
      </c>
      <c r="G234" s="7">
        <f t="shared" si="35"/>
        <v>57.811258368879187</v>
      </c>
      <c r="H234" s="12">
        <f t="shared" si="36"/>
        <v>42.188741631120813</v>
      </c>
    </row>
    <row r="235" spans="1:8">
      <c r="A235" s="4" t="s">
        <v>198</v>
      </c>
      <c r="B235" s="4" t="s">
        <v>382</v>
      </c>
      <c r="C235" s="4" t="s">
        <v>381</v>
      </c>
      <c r="D235" s="12">
        <v>1.4502299999999999</v>
      </c>
      <c r="E235" s="12">
        <v>-1.1283399999999999</v>
      </c>
      <c r="F235" s="12">
        <f t="shared" si="34"/>
        <v>-1.2852774872822021</v>
      </c>
      <c r="G235" s="7">
        <f t="shared" si="35"/>
        <v>-77.804210366631494</v>
      </c>
      <c r="H235" s="12">
        <f t="shared" si="36"/>
        <v>177.80421036663148</v>
      </c>
    </row>
    <row r="237" spans="1:8">
      <c r="A237" s="5" t="s">
        <v>113</v>
      </c>
    </row>
    <row r="238" spans="1:8">
      <c r="A238" s="4" t="s">
        <v>207</v>
      </c>
      <c r="C238" s="6" t="s">
        <v>206</v>
      </c>
      <c r="D238" s="12">
        <v>1.7324200000000001</v>
      </c>
      <c r="E238" s="12">
        <v>1.09527</v>
      </c>
      <c r="F238" s="12">
        <f>D238/E238</f>
        <v>1.581728706163777</v>
      </c>
      <c r="G238" s="7">
        <f>E238*100/D238</f>
        <v>63.221966959513281</v>
      </c>
      <c r="H238" s="12">
        <f>100-G238</f>
        <v>36.778033040486719</v>
      </c>
    </row>
    <row r="239" spans="1:8">
      <c r="A239" s="4" t="s">
        <v>210</v>
      </c>
      <c r="B239" s="4" t="s">
        <v>209</v>
      </c>
      <c r="C239" s="4" t="s">
        <v>208</v>
      </c>
      <c r="D239" s="12">
        <v>1.6731</v>
      </c>
      <c r="E239" s="12">
        <v>1.20648</v>
      </c>
      <c r="F239" s="12">
        <f>D239/E239</f>
        <v>1.386761487964989</v>
      </c>
      <c r="G239" s="7">
        <f>E239*100/D239</f>
        <v>72.110453648915183</v>
      </c>
      <c r="H239" s="12">
        <f>100-G239</f>
        <v>27.889546351084817</v>
      </c>
    </row>
    <row r="241" spans="1:8">
      <c r="A241" s="5" t="s">
        <v>114</v>
      </c>
    </row>
    <row r="242" spans="1:8">
      <c r="A242" s="4" t="s">
        <v>467</v>
      </c>
      <c r="C242" s="4" t="s">
        <v>466</v>
      </c>
      <c r="D242" s="12">
        <v>10.352399999999999</v>
      </c>
      <c r="E242" s="12">
        <v>1.7859700000000001</v>
      </c>
      <c r="F242" s="12">
        <f t="shared" ref="F242:F254" si="37">D242/E242</f>
        <v>5.7965139392039058</v>
      </c>
      <c r="G242" s="7">
        <f t="shared" ref="G242:G271" si="38">E242*100/D242</f>
        <v>17.251748386847495</v>
      </c>
      <c r="H242" s="12">
        <f t="shared" ref="H242:H271" si="39">100-G242</f>
        <v>82.748251613152505</v>
      </c>
    </row>
    <row r="243" spans="1:8">
      <c r="A243" s="4" t="s">
        <v>205</v>
      </c>
      <c r="B243" s="4" t="s">
        <v>115</v>
      </c>
      <c r="C243" s="6" t="s">
        <v>204</v>
      </c>
      <c r="D243" s="12">
        <v>1.5677700000000001</v>
      </c>
      <c r="E243" s="12">
        <v>1.0214399999999999</v>
      </c>
      <c r="F243" s="12">
        <f t="shared" si="37"/>
        <v>1.5348625469924815</v>
      </c>
      <c r="G243" s="7">
        <f t="shared" si="38"/>
        <v>65.152413938268992</v>
      </c>
      <c r="H243" s="12">
        <f t="shared" si="39"/>
        <v>34.847586061731008</v>
      </c>
    </row>
    <row r="244" spans="1:8">
      <c r="A244" s="4" t="s">
        <v>135</v>
      </c>
      <c r="B244" s="4" t="s">
        <v>134</v>
      </c>
      <c r="C244" s="4" t="s">
        <v>133</v>
      </c>
      <c r="D244" s="12">
        <v>2.0774499999999998</v>
      </c>
      <c r="E244" s="12">
        <v>1.3218099999999999</v>
      </c>
      <c r="F244" s="12">
        <f t="shared" si="37"/>
        <v>1.5716706637111233</v>
      </c>
      <c r="G244" s="7">
        <f t="shared" si="38"/>
        <v>63.626561409420198</v>
      </c>
      <c r="H244" s="12">
        <f t="shared" si="39"/>
        <v>36.373438590579802</v>
      </c>
    </row>
    <row r="245" spans="1:8">
      <c r="A245" s="4" t="s">
        <v>137</v>
      </c>
      <c r="B245" s="4" t="s">
        <v>136</v>
      </c>
      <c r="C245" s="6" t="s">
        <v>116</v>
      </c>
      <c r="D245" s="12">
        <v>2.1138699999999999</v>
      </c>
      <c r="E245" s="12">
        <v>1.47925</v>
      </c>
      <c r="F245" s="12">
        <f t="shared" si="37"/>
        <v>1.4290147033969918</v>
      </c>
      <c r="G245" s="7">
        <f t="shared" si="38"/>
        <v>69.978286271151958</v>
      </c>
      <c r="H245" s="12">
        <f t="shared" si="39"/>
        <v>30.021713728848042</v>
      </c>
    </row>
    <row r="246" spans="1:8">
      <c r="A246" s="4" t="s">
        <v>155</v>
      </c>
      <c r="B246" s="4" t="s">
        <v>154</v>
      </c>
      <c r="C246" s="9" t="s">
        <v>153</v>
      </c>
      <c r="D246" s="12">
        <v>3.1564700000000001</v>
      </c>
      <c r="E246" s="12">
        <v>1.97411</v>
      </c>
      <c r="F246" s="12">
        <f t="shared" si="37"/>
        <v>1.5989331901464459</v>
      </c>
      <c r="G246" s="7">
        <f t="shared" si="38"/>
        <v>62.541700063678725</v>
      </c>
      <c r="H246" s="12">
        <f t="shared" si="39"/>
        <v>37.458299936321275</v>
      </c>
    </row>
    <row r="247" spans="1:8">
      <c r="A247" s="4" t="s">
        <v>157</v>
      </c>
      <c r="B247" s="4" t="s">
        <v>156</v>
      </c>
      <c r="C247" s="4" t="s">
        <v>117</v>
      </c>
      <c r="D247" s="12">
        <v>1.81318</v>
      </c>
      <c r="E247" s="12">
        <v>1.32742</v>
      </c>
      <c r="F247" s="12">
        <f t="shared" si="37"/>
        <v>1.3659429570143586</v>
      </c>
      <c r="G247" s="7">
        <f t="shared" si="38"/>
        <v>73.209499332664166</v>
      </c>
      <c r="H247" s="12">
        <f t="shared" si="39"/>
        <v>26.790500667335834</v>
      </c>
    </row>
    <row r="248" spans="1:8">
      <c r="A248" s="4" t="s">
        <v>159</v>
      </c>
      <c r="C248" s="4" t="s">
        <v>158</v>
      </c>
      <c r="D248" s="12">
        <v>2.91981</v>
      </c>
      <c r="E248" s="12">
        <v>1.7873699999999999</v>
      </c>
      <c r="F248" s="12">
        <f t="shared" si="37"/>
        <v>1.6335789456016383</v>
      </c>
      <c r="G248" s="7">
        <f t="shared" si="38"/>
        <v>61.215284556186873</v>
      </c>
      <c r="H248" s="12">
        <f t="shared" si="39"/>
        <v>38.784715443813127</v>
      </c>
    </row>
    <row r="249" spans="1:8" ht="13" customHeight="1">
      <c r="A249" s="4" t="s">
        <v>160</v>
      </c>
      <c r="C249" s="4" t="s">
        <v>118</v>
      </c>
      <c r="D249" s="12">
        <v>1.5599000000000001</v>
      </c>
      <c r="E249" s="12">
        <v>1.05721</v>
      </c>
      <c r="F249" s="12">
        <f t="shared" si="37"/>
        <v>1.4754873676942142</v>
      </c>
      <c r="G249" s="7">
        <f t="shared" si="38"/>
        <v>67.774216295916403</v>
      </c>
      <c r="H249" s="12">
        <f t="shared" si="39"/>
        <v>32.225783704083597</v>
      </c>
    </row>
    <row r="250" spans="1:8" ht="13" customHeight="1">
      <c r="A250" s="4" t="s">
        <v>161</v>
      </c>
      <c r="C250" s="6" t="s">
        <v>119</v>
      </c>
      <c r="D250" s="12">
        <v>2.49776</v>
      </c>
      <c r="E250" s="12">
        <v>1.5589500000000001</v>
      </c>
      <c r="F250" s="12">
        <f t="shared" si="37"/>
        <v>1.6022066134257031</v>
      </c>
      <c r="G250" s="7">
        <f t="shared" si="38"/>
        <v>62.41392287489591</v>
      </c>
      <c r="H250" s="12">
        <f t="shared" si="39"/>
        <v>37.58607712510409</v>
      </c>
    </row>
    <row r="251" spans="1:8">
      <c r="A251" s="4" t="s">
        <v>87</v>
      </c>
      <c r="C251" s="6" t="s">
        <v>86</v>
      </c>
      <c r="D251" s="12">
        <v>2.4837600000000002</v>
      </c>
      <c r="E251" s="12">
        <v>1.1517999999999999</v>
      </c>
      <c r="F251" s="12">
        <f t="shared" si="37"/>
        <v>2.1564160444521621</v>
      </c>
      <c r="G251" s="7">
        <f t="shared" si="38"/>
        <v>46.373240570747569</v>
      </c>
      <c r="H251" s="12">
        <f t="shared" si="39"/>
        <v>53.626759429252431</v>
      </c>
    </row>
    <row r="252" spans="1:8">
      <c r="A252" s="4" t="s">
        <v>89</v>
      </c>
      <c r="C252" s="6" t="s">
        <v>88</v>
      </c>
      <c r="D252" s="12">
        <v>3.4364699999999999</v>
      </c>
      <c r="E252" s="12">
        <v>1.4578199999999999</v>
      </c>
      <c r="F252" s="12">
        <f t="shared" si="37"/>
        <v>2.3572663291764417</v>
      </c>
      <c r="G252" s="7">
        <f t="shared" si="38"/>
        <v>42.422020270801134</v>
      </c>
      <c r="H252" s="12">
        <f t="shared" si="39"/>
        <v>57.577979729198866</v>
      </c>
    </row>
    <row r="253" spans="1:8">
      <c r="A253" s="4" t="s">
        <v>89</v>
      </c>
      <c r="C253" s="4" t="s">
        <v>88</v>
      </c>
      <c r="D253" s="12">
        <v>2.3461799999999999</v>
      </c>
      <c r="E253" s="12">
        <v>1.42797</v>
      </c>
      <c r="F253" s="12">
        <f t="shared" si="37"/>
        <v>1.6430177104561021</v>
      </c>
      <c r="G253" s="7">
        <f t="shared" si="38"/>
        <v>60.863616602306728</v>
      </c>
      <c r="H253" s="12">
        <f t="shared" si="39"/>
        <v>39.136383397693272</v>
      </c>
    </row>
    <row r="254" spans="1:8">
      <c r="A254" s="4" t="s">
        <v>91</v>
      </c>
      <c r="C254" s="6" t="s">
        <v>90</v>
      </c>
      <c r="D254" s="12">
        <v>2.1493199999999999</v>
      </c>
      <c r="E254" s="12">
        <v>1.44543</v>
      </c>
      <c r="F254" s="12">
        <f t="shared" si="37"/>
        <v>1.4869761939353687</v>
      </c>
      <c r="G254" s="7">
        <f t="shared" si="38"/>
        <v>67.25057227402155</v>
      </c>
      <c r="H254" s="12">
        <f t="shared" si="39"/>
        <v>32.74942772597845</v>
      </c>
    </row>
    <row r="255" spans="1:8">
      <c r="A255" s="4" t="s">
        <v>93</v>
      </c>
      <c r="C255" s="6" t="s">
        <v>92</v>
      </c>
      <c r="D255" s="12">
        <v>1.4253</v>
      </c>
      <c r="E255" s="12">
        <v>-1.0966199999999999</v>
      </c>
      <c r="F255" s="12">
        <f>D255/-E255</f>
        <v>1.2997209607703673</v>
      </c>
      <c r="G255" s="7">
        <f t="shared" si="38"/>
        <v>-76.939591664912641</v>
      </c>
      <c r="H255" s="12">
        <f t="shared" si="39"/>
        <v>176.93959166491265</v>
      </c>
    </row>
    <row r="256" spans="1:8">
      <c r="A256" s="4" t="s">
        <v>95</v>
      </c>
      <c r="C256" s="4" t="s">
        <v>94</v>
      </c>
      <c r="D256" s="12">
        <v>1.82517</v>
      </c>
      <c r="E256" s="12">
        <v>1.26888</v>
      </c>
      <c r="F256" s="12">
        <f t="shared" ref="F256:F269" si="40">D256/E256</f>
        <v>1.4384102515604311</v>
      </c>
      <c r="G256" s="7">
        <f t="shared" si="38"/>
        <v>69.52119528591858</v>
      </c>
      <c r="H256" s="12">
        <f t="shared" si="39"/>
        <v>30.47880471408142</v>
      </c>
    </row>
    <row r="257" spans="1:8">
      <c r="A257" s="4" t="s">
        <v>104</v>
      </c>
      <c r="C257" s="6" t="s">
        <v>99</v>
      </c>
      <c r="D257" s="12">
        <v>11.0665</v>
      </c>
      <c r="E257" s="12">
        <v>1.1545399999999999</v>
      </c>
      <c r="F257" s="12">
        <f t="shared" si="40"/>
        <v>9.5852027647374722</v>
      </c>
      <c r="G257" s="7">
        <f t="shared" si="38"/>
        <v>10.432747481136763</v>
      </c>
      <c r="H257" s="12">
        <f t="shared" si="39"/>
        <v>89.567252518863242</v>
      </c>
    </row>
    <row r="258" spans="1:8">
      <c r="A258" s="4" t="s">
        <v>103</v>
      </c>
      <c r="C258" s="4" t="s">
        <v>120</v>
      </c>
      <c r="D258" s="12">
        <v>4.2518799999999999</v>
      </c>
      <c r="E258" s="12">
        <v>1.2946899999999999</v>
      </c>
      <c r="F258" s="12">
        <f t="shared" si="40"/>
        <v>3.2840911724042052</v>
      </c>
      <c r="G258" s="7">
        <f t="shared" si="38"/>
        <v>30.449824548199853</v>
      </c>
      <c r="H258" s="12">
        <f t="shared" si="39"/>
        <v>69.550175451800143</v>
      </c>
    </row>
    <row r="259" spans="1:8">
      <c r="A259" s="4" t="s">
        <v>102</v>
      </c>
      <c r="C259" s="4" t="s">
        <v>99</v>
      </c>
      <c r="D259" s="12">
        <v>14.566599999999999</v>
      </c>
      <c r="E259" s="12">
        <v>6.1144699999999998</v>
      </c>
      <c r="F259" s="12">
        <f t="shared" si="40"/>
        <v>2.38231604701634</v>
      </c>
      <c r="G259" s="7">
        <f t="shared" si="38"/>
        <v>41.975958700039818</v>
      </c>
      <c r="H259" s="12">
        <f t="shared" si="39"/>
        <v>58.024041299960182</v>
      </c>
    </row>
    <row r="260" spans="1:8">
      <c r="A260" s="4" t="s">
        <v>101</v>
      </c>
      <c r="C260" s="6" t="s">
        <v>99</v>
      </c>
      <c r="D260" s="12">
        <v>6.5900299999999996</v>
      </c>
      <c r="E260" s="12">
        <v>3.8124899999999999</v>
      </c>
      <c r="F260" s="12">
        <f t="shared" si="40"/>
        <v>1.7285369928839156</v>
      </c>
      <c r="G260" s="7">
        <f t="shared" si="38"/>
        <v>57.852392174238965</v>
      </c>
      <c r="H260" s="12">
        <f t="shared" si="39"/>
        <v>42.147607825761035</v>
      </c>
    </row>
    <row r="261" spans="1:8">
      <c r="A261" s="4" t="s">
        <v>100</v>
      </c>
      <c r="C261" s="6" t="s">
        <v>99</v>
      </c>
      <c r="D261" s="12">
        <v>1.7587999999999999</v>
      </c>
      <c r="E261" s="12">
        <v>1.0540499999999999</v>
      </c>
      <c r="F261" s="12">
        <f t="shared" si="40"/>
        <v>1.6686115459418434</v>
      </c>
      <c r="G261" s="7">
        <f t="shared" si="38"/>
        <v>59.930065954059579</v>
      </c>
      <c r="H261" s="12">
        <f t="shared" si="39"/>
        <v>40.069934045940421</v>
      </c>
    </row>
    <row r="262" spans="1:8">
      <c r="A262" s="4" t="s">
        <v>98</v>
      </c>
      <c r="C262" s="6" t="s">
        <v>97</v>
      </c>
      <c r="D262" s="12">
        <v>2.3159299999999998</v>
      </c>
      <c r="E262" s="12">
        <v>1.19024</v>
      </c>
      <c r="F262" s="12">
        <f t="shared" si="40"/>
        <v>1.9457672402204595</v>
      </c>
      <c r="G262" s="7">
        <f t="shared" si="38"/>
        <v>51.393608615113585</v>
      </c>
      <c r="H262" s="12">
        <f t="shared" si="39"/>
        <v>48.606391384886415</v>
      </c>
    </row>
    <row r="263" spans="1:8">
      <c r="A263" s="4" t="s">
        <v>106</v>
      </c>
      <c r="B263" s="4" t="s">
        <v>105</v>
      </c>
      <c r="C263" s="6" t="s">
        <v>35</v>
      </c>
      <c r="D263" s="12">
        <v>11.3414</v>
      </c>
      <c r="E263" s="12">
        <v>5.9986199999999998</v>
      </c>
      <c r="F263" s="12">
        <f t="shared" si="40"/>
        <v>1.8906681870163471</v>
      </c>
      <c r="G263" s="7">
        <f t="shared" si="38"/>
        <v>52.891353801118022</v>
      </c>
      <c r="H263" s="12">
        <f t="shared" si="39"/>
        <v>47.108646198881978</v>
      </c>
    </row>
    <row r="264" spans="1:8">
      <c r="A264" s="4" t="s">
        <v>266</v>
      </c>
      <c r="B264" s="4" t="s">
        <v>265</v>
      </c>
      <c r="C264" s="6" t="s">
        <v>264</v>
      </c>
      <c r="D264" s="12">
        <v>1.7760400000000001</v>
      </c>
      <c r="E264" s="12">
        <v>1.13781</v>
      </c>
      <c r="F264" s="12">
        <f t="shared" si="40"/>
        <v>1.5609284502684984</v>
      </c>
      <c r="G264" s="7">
        <f t="shared" si="38"/>
        <v>64.064435485687255</v>
      </c>
      <c r="H264" s="12">
        <f t="shared" si="39"/>
        <v>35.935564514312745</v>
      </c>
    </row>
    <row r="265" spans="1:8">
      <c r="A265" s="4" t="s">
        <v>270</v>
      </c>
      <c r="C265" s="4" t="s">
        <v>269</v>
      </c>
      <c r="D265" s="12">
        <v>1.8588899999999999</v>
      </c>
      <c r="E265" s="12">
        <v>1.2000599999999999</v>
      </c>
      <c r="F265" s="12">
        <f t="shared" si="40"/>
        <v>1.548997550122494</v>
      </c>
      <c r="G265" s="7">
        <f t="shared" si="38"/>
        <v>64.557881316269388</v>
      </c>
      <c r="H265" s="12">
        <f t="shared" si="39"/>
        <v>35.442118683730612</v>
      </c>
    </row>
    <row r="266" spans="1:8">
      <c r="A266" s="4" t="s">
        <v>268</v>
      </c>
      <c r="C266" s="4" t="s">
        <v>267</v>
      </c>
      <c r="D266" s="12">
        <v>2.6473900000000001</v>
      </c>
      <c r="E266" s="12">
        <v>1.4067700000000001</v>
      </c>
      <c r="F266" s="12">
        <f t="shared" si="40"/>
        <v>1.8818925623947056</v>
      </c>
      <c r="G266" s="7">
        <f t="shared" si="38"/>
        <v>53.137996290686303</v>
      </c>
      <c r="H266" s="12">
        <f t="shared" si="39"/>
        <v>46.862003709313697</v>
      </c>
    </row>
    <row r="267" spans="1:8">
      <c r="A267" s="4" t="s">
        <v>227</v>
      </c>
      <c r="C267" s="4" t="s">
        <v>36</v>
      </c>
      <c r="D267" s="12">
        <v>2.9407299999999998</v>
      </c>
      <c r="E267" s="12">
        <v>1.43292</v>
      </c>
      <c r="F267" s="12">
        <f t="shared" si="40"/>
        <v>2.0522639086620327</v>
      </c>
      <c r="G267" s="7">
        <f t="shared" si="38"/>
        <v>48.726676709524511</v>
      </c>
      <c r="H267" s="12">
        <f t="shared" si="39"/>
        <v>51.273323290475489</v>
      </c>
    </row>
    <row r="268" spans="1:8">
      <c r="A268" s="4" t="s">
        <v>132</v>
      </c>
      <c r="C268" s="4" t="s">
        <v>131</v>
      </c>
      <c r="D268" s="12">
        <v>5.74038</v>
      </c>
      <c r="E268" s="12">
        <v>3.2742300000000002</v>
      </c>
      <c r="F268" s="12">
        <f t="shared" si="40"/>
        <v>1.7531999890050485</v>
      </c>
      <c r="G268" s="7">
        <f t="shared" si="38"/>
        <v>57.038558422961543</v>
      </c>
      <c r="H268" s="12">
        <f t="shared" si="39"/>
        <v>42.961441577038457</v>
      </c>
    </row>
    <row r="269" spans="1:8">
      <c r="A269" s="4" t="s">
        <v>151</v>
      </c>
      <c r="B269" s="4" t="s">
        <v>150</v>
      </c>
      <c r="C269" s="6" t="s">
        <v>149</v>
      </c>
      <c r="D269" s="12">
        <v>2.8353899999999999</v>
      </c>
      <c r="E269" s="12">
        <v>1.2639199999999999</v>
      </c>
      <c r="F269" s="12">
        <f t="shared" si="40"/>
        <v>2.2433302740679788</v>
      </c>
      <c r="G269" s="7">
        <f t="shared" si="38"/>
        <v>44.576583820920582</v>
      </c>
      <c r="H269" s="12">
        <f t="shared" si="39"/>
        <v>55.423416179079418</v>
      </c>
    </row>
    <row r="270" spans="1:8">
      <c r="A270" s="4" t="s">
        <v>229</v>
      </c>
      <c r="C270" s="4" t="s">
        <v>228</v>
      </c>
      <c r="D270" s="12">
        <v>1.3432599999999999</v>
      </c>
      <c r="E270" s="12">
        <v>-1.0332300000000001</v>
      </c>
      <c r="F270" s="12">
        <f>D270/-E270</f>
        <v>1.3000590381618804</v>
      </c>
      <c r="G270" s="7">
        <f t="shared" si="38"/>
        <v>-76.919583699358284</v>
      </c>
      <c r="H270" s="12">
        <f t="shared" si="39"/>
        <v>176.91958369935827</v>
      </c>
    </row>
    <row r="271" spans="1:8">
      <c r="A271" s="4" t="s">
        <v>85</v>
      </c>
      <c r="B271" s="4" t="s">
        <v>84</v>
      </c>
      <c r="C271" s="6" t="s">
        <v>83</v>
      </c>
      <c r="D271" s="12">
        <v>1.8759399999999999</v>
      </c>
      <c r="E271" s="12">
        <v>1.1759599999999999</v>
      </c>
      <c r="F271" s="12">
        <f>D271/E271</f>
        <v>1.5952413347392769</v>
      </c>
      <c r="G271" s="7">
        <f t="shared" si="38"/>
        <v>62.686439864814439</v>
      </c>
      <c r="H271" s="12">
        <f t="shared" si="39"/>
        <v>37.313560135185561</v>
      </c>
    </row>
    <row r="272" spans="1:8">
      <c r="A272" s="4" t="s">
        <v>530</v>
      </c>
      <c r="B272" s="4" t="s">
        <v>531</v>
      </c>
      <c r="C272" s="4" t="s">
        <v>532</v>
      </c>
      <c r="D272" s="12">
        <v>1.72993</v>
      </c>
      <c r="E272" s="12">
        <v>1.2180500000000001</v>
      </c>
      <c r="F272" s="12">
        <v>1.4202454743237143</v>
      </c>
      <c r="G272" s="7">
        <v>70.410363425109708</v>
      </c>
      <c r="H272" s="12">
        <v>29.589636574890303</v>
      </c>
    </row>
    <row r="273" spans="1:8">
      <c r="A273" s="4" t="s">
        <v>163</v>
      </c>
      <c r="C273" s="4" t="s">
        <v>124</v>
      </c>
      <c r="D273" s="12">
        <v>1.7527600000000001</v>
      </c>
      <c r="E273" s="12">
        <v>1.2759799999999999</v>
      </c>
      <c r="F273" s="12">
        <v>1.3736578943243631</v>
      </c>
      <c r="G273" s="7">
        <v>72.798329491772975</v>
      </c>
      <c r="H273" s="12">
        <v>27.201670508227036</v>
      </c>
    </row>
    <row r="274" spans="1:8">
      <c r="A274" s="4" t="s">
        <v>164</v>
      </c>
      <c r="C274" s="4" t="s">
        <v>326</v>
      </c>
      <c r="D274" s="12">
        <v>2.2244700000000002</v>
      </c>
      <c r="E274" s="12">
        <v>1.14571</v>
      </c>
      <c r="F274" s="12">
        <v>1.9415646193190246</v>
      </c>
      <c r="G274" s="7">
        <v>51.504852841350974</v>
      </c>
      <c r="H274" s="12">
        <v>48.495147158649026</v>
      </c>
    </row>
    <row r="275" spans="1:8">
      <c r="A275" s="4" t="s">
        <v>66</v>
      </c>
      <c r="B275" s="4" t="s">
        <v>67</v>
      </c>
      <c r="C275" s="11" t="s">
        <v>68</v>
      </c>
      <c r="D275" s="12">
        <v>3.8656100000000002</v>
      </c>
      <c r="E275" s="12">
        <v>2.1712099999999999</v>
      </c>
      <c r="F275" s="12">
        <v>1.7803943423252471</v>
      </c>
      <c r="G275" s="7">
        <v>56.167331934675254</v>
      </c>
      <c r="H275" s="12">
        <v>43.832668065324746</v>
      </c>
    </row>
    <row r="276" spans="1:8">
      <c r="A276" s="4" t="s">
        <v>200</v>
      </c>
      <c r="B276" s="4" t="s">
        <v>199</v>
      </c>
      <c r="C276" s="6" t="s">
        <v>37</v>
      </c>
      <c r="D276" s="12">
        <v>2.75935</v>
      </c>
      <c r="E276" s="12">
        <v>1.18719</v>
      </c>
      <c r="F276" s="12">
        <f>D276/E276</f>
        <v>2.3242699146724619</v>
      </c>
      <c r="G276" s="7">
        <f>E276*100/D276</f>
        <v>43.024262960479824</v>
      </c>
      <c r="H276" s="12">
        <f>100-G276</f>
        <v>56.975737039520176</v>
      </c>
    </row>
    <row r="277" spans="1:8">
      <c r="A277" s="4" t="s">
        <v>203</v>
      </c>
      <c r="B277" s="4" t="s">
        <v>202</v>
      </c>
      <c r="C277" s="6" t="s">
        <v>201</v>
      </c>
      <c r="D277" s="12">
        <v>1.5485199999999999</v>
      </c>
      <c r="E277" s="12">
        <v>1.10928</v>
      </c>
      <c r="F277" s="12">
        <f>D277/E277</f>
        <v>1.3959685561805855</v>
      </c>
      <c r="G277" s="7">
        <f>E277*100/D277</f>
        <v>71.634851341926492</v>
      </c>
      <c r="H277" s="12">
        <f>100-G277</f>
        <v>28.365148658073508</v>
      </c>
    </row>
    <row r="278" spans="1:8">
      <c r="A278" s="4" t="s">
        <v>139</v>
      </c>
      <c r="C278" s="6" t="s">
        <v>138</v>
      </c>
      <c r="D278" s="12">
        <v>4.0537799999999997</v>
      </c>
      <c r="E278" s="12">
        <v>1.0763199999999999</v>
      </c>
      <c r="F278" s="12">
        <f>D278/E278</f>
        <v>3.7663334324364501</v>
      </c>
      <c r="G278" s="7">
        <f>E278*100/D278</f>
        <v>26.551021515721128</v>
      </c>
      <c r="H278" s="12">
        <f>100-G278</f>
        <v>73.448978484278868</v>
      </c>
    </row>
    <row r="280" spans="1:8">
      <c r="A280" s="5" t="s">
        <v>38</v>
      </c>
    </row>
    <row r="281" spans="1:8">
      <c r="A281" s="4" t="s">
        <v>390</v>
      </c>
      <c r="B281" s="4" t="s">
        <v>391</v>
      </c>
      <c r="C281" s="6" t="s">
        <v>360</v>
      </c>
      <c r="D281" s="12">
        <v>1.84076</v>
      </c>
      <c r="E281" s="12">
        <v>1.2816799999999999</v>
      </c>
      <c r="F281" s="12">
        <f>D281/E281</f>
        <v>1.4362087260470633</v>
      </c>
      <c r="G281" s="7">
        <f>E281*100/D281</f>
        <v>69.627762445946246</v>
      </c>
      <c r="H281" s="12">
        <f>100-G281</f>
        <v>30.372237554053754</v>
      </c>
    </row>
    <row r="282" spans="1:8">
      <c r="A282" s="4" t="s">
        <v>39</v>
      </c>
      <c r="B282" s="4" t="s">
        <v>516</v>
      </c>
      <c r="C282" s="4" t="s">
        <v>360</v>
      </c>
      <c r="D282" s="12">
        <v>2.9807700000000001</v>
      </c>
      <c r="E282" s="12">
        <v>2.0488499999999998</v>
      </c>
      <c r="F282" s="12">
        <f>D282/E282</f>
        <v>1.454850281865437</v>
      </c>
      <c r="G282" s="7">
        <f>E282*100/D282</f>
        <v>68.735595165007695</v>
      </c>
      <c r="H282" s="12">
        <f>100-G282</f>
        <v>31.264404834992305</v>
      </c>
    </row>
    <row r="283" spans="1:8">
      <c r="A283" s="4" t="s">
        <v>361</v>
      </c>
      <c r="B283" s="4" t="s">
        <v>362</v>
      </c>
      <c r="C283" s="11" t="s">
        <v>363</v>
      </c>
      <c r="D283" s="12">
        <v>1.83395</v>
      </c>
      <c r="E283" s="12">
        <v>1.1255500000000001</v>
      </c>
      <c r="F283" s="12">
        <f>D283/E283</f>
        <v>1.6293811914175291</v>
      </c>
      <c r="G283" s="7">
        <f>E283*100/D283</f>
        <v>61.372992720630336</v>
      </c>
      <c r="H283" s="12">
        <f>100-G283</f>
        <v>38.627007279369664</v>
      </c>
    </row>
    <row r="284" spans="1:8">
      <c r="A284" s="4" t="s">
        <v>468</v>
      </c>
      <c r="B284" s="4" t="s">
        <v>469</v>
      </c>
      <c r="C284" s="11" t="s">
        <v>470</v>
      </c>
      <c r="D284" s="12">
        <v>1.5882499999999999</v>
      </c>
      <c r="E284" s="12">
        <v>1.1244700000000001</v>
      </c>
      <c r="F284" s="12">
        <v>1.4124431954609729</v>
      </c>
      <c r="G284" s="7">
        <v>70.79930741382023</v>
      </c>
      <c r="H284" s="12">
        <v>29.200692586179752</v>
      </c>
    </row>
    <row r="285" spans="1:8">
      <c r="A285" s="4" t="s">
        <v>216</v>
      </c>
      <c r="B285" s="4" t="s">
        <v>215</v>
      </c>
      <c r="C285" s="4" t="s">
        <v>360</v>
      </c>
      <c r="D285" s="12">
        <v>1.9944</v>
      </c>
      <c r="E285" s="12">
        <v>1.19665</v>
      </c>
      <c r="F285" s="12">
        <f>D285/E285</f>
        <v>1.6666527388960848</v>
      </c>
      <c r="G285" s="7">
        <f>E285*100/D285</f>
        <v>60.000501403931004</v>
      </c>
      <c r="H285" s="12">
        <f>100-G285</f>
        <v>39.999498596068996</v>
      </c>
    </row>
    <row r="286" spans="1:8">
      <c r="A286" s="4" t="s">
        <v>40</v>
      </c>
      <c r="B286" s="4" t="s">
        <v>362</v>
      </c>
      <c r="C286" s="4" t="s">
        <v>217</v>
      </c>
      <c r="D286" s="12">
        <v>1.70163</v>
      </c>
      <c r="E286" s="12">
        <v>1.25569</v>
      </c>
      <c r="F286" s="12">
        <f>D286/E286</f>
        <v>1.3551354235519912</v>
      </c>
      <c r="G286" s="7">
        <f>E286*100/D286</f>
        <v>73.793362834458733</v>
      </c>
      <c r="H286" s="12">
        <f>100-G286</f>
        <v>26.206637165541267</v>
      </c>
    </row>
    <row r="287" spans="1:8">
      <c r="A287" s="4" t="s">
        <v>224</v>
      </c>
      <c r="B287" s="4" t="s">
        <v>223</v>
      </c>
      <c r="C287" s="6" t="s">
        <v>222</v>
      </c>
      <c r="D287" s="12">
        <v>2.00943</v>
      </c>
      <c r="E287" s="12">
        <v>1.26187</v>
      </c>
      <c r="F287" s="12">
        <f>D287/E287</f>
        <v>1.5924223572951255</v>
      </c>
      <c r="G287" s="7">
        <f>E287*100/D287</f>
        <v>62.797410210855816</v>
      </c>
      <c r="H287" s="12">
        <f>100-G287</f>
        <v>37.202589789144184</v>
      </c>
    </row>
    <row r="288" spans="1:8">
      <c r="A288" s="4" t="s">
        <v>226</v>
      </c>
      <c r="C288" s="4" t="s">
        <v>225</v>
      </c>
      <c r="D288" s="12">
        <v>3.8120400000000001</v>
      </c>
      <c r="E288" s="12">
        <v>2.2607599999999999</v>
      </c>
      <c r="F288" s="12">
        <f>D288/E288</f>
        <v>1.6861763300836887</v>
      </c>
      <c r="G288" s="7">
        <f>E288*100/D288</f>
        <v>59.305778533278769</v>
      </c>
      <c r="H288" s="12">
        <f>100-G288</f>
        <v>40.694221466721231</v>
      </c>
    </row>
    <row r="289" spans="1:8">
      <c r="A289" s="4" t="s">
        <v>242</v>
      </c>
      <c r="C289" s="6" t="s">
        <v>241</v>
      </c>
      <c r="D289" s="12">
        <v>5.7183299999999999</v>
      </c>
      <c r="E289" s="12">
        <v>4.0674400000000004</v>
      </c>
      <c r="F289" s="12">
        <f>D289/E289</f>
        <v>1.4058793737584327</v>
      </c>
      <c r="G289" s="7">
        <f>E289*100/D289</f>
        <v>71.129857843111537</v>
      </c>
      <c r="H289" s="12">
        <f>100-G289</f>
        <v>28.870142156888463</v>
      </c>
    </row>
    <row r="291" spans="1:8">
      <c r="A291" s="5" t="s">
        <v>41</v>
      </c>
    </row>
    <row r="292" spans="1:8">
      <c r="A292" s="4" t="s">
        <v>42</v>
      </c>
      <c r="B292" s="4" t="s">
        <v>82</v>
      </c>
      <c r="C292" s="6"/>
      <c r="D292" s="12">
        <v>3.02488</v>
      </c>
      <c r="E292" s="12">
        <v>2.1749200000000002</v>
      </c>
      <c r="F292" s="12">
        <f>D292/E292</f>
        <v>1.3908005811708015</v>
      </c>
      <c r="G292" s="7">
        <f t="shared" ref="G292:G303" si="41">E292*100/D292</f>
        <v>71.901034090608562</v>
      </c>
      <c r="H292" s="12">
        <f t="shared" ref="H292:H323" si="42">100-G292</f>
        <v>28.098965909391438</v>
      </c>
    </row>
    <row r="293" spans="1:8">
      <c r="A293" s="4" t="s">
        <v>147</v>
      </c>
      <c r="C293" s="4" t="s">
        <v>145</v>
      </c>
      <c r="D293" s="12">
        <v>2.5459000000000001</v>
      </c>
      <c r="E293" s="12">
        <v>1.8133600000000001</v>
      </c>
      <c r="F293" s="12">
        <f>D293/E293</f>
        <v>1.4039683239952354</v>
      </c>
      <c r="G293" s="7">
        <f t="shared" si="41"/>
        <v>71.226678188459886</v>
      </c>
      <c r="H293" s="12">
        <f t="shared" si="42"/>
        <v>28.773321811540114</v>
      </c>
    </row>
    <row r="294" spans="1:8">
      <c r="A294" s="4" t="s">
        <v>146</v>
      </c>
      <c r="C294" s="4" t="s">
        <v>145</v>
      </c>
      <c r="D294" s="12">
        <v>2.4271400000000001</v>
      </c>
      <c r="E294" s="12">
        <v>1.7904599999999999</v>
      </c>
      <c r="F294" s="12">
        <f>D294/E294</f>
        <v>1.3555957686851425</v>
      </c>
      <c r="G294" s="7">
        <f t="shared" si="41"/>
        <v>73.768303435318927</v>
      </c>
      <c r="H294" s="12">
        <f t="shared" si="42"/>
        <v>26.231696564681073</v>
      </c>
    </row>
    <row r="295" spans="1:8">
      <c r="A295" s="4" t="s">
        <v>144</v>
      </c>
      <c r="C295" s="6" t="s">
        <v>143</v>
      </c>
      <c r="D295" s="12">
        <v>1.5456300000000001</v>
      </c>
      <c r="E295" s="12">
        <v>1.15324</v>
      </c>
      <c r="F295" s="12">
        <f>D295/E295</f>
        <v>1.3402500780409976</v>
      </c>
      <c r="G295" s="7">
        <f t="shared" si="41"/>
        <v>74.612941001403954</v>
      </c>
      <c r="H295" s="12">
        <f t="shared" si="42"/>
        <v>25.387058998596046</v>
      </c>
    </row>
    <row r="296" spans="1:8">
      <c r="A296" s="4" t="s">
        <v>51</v>
      </c>
      <c r="C296" s="6" t="s">
        <v>43</v>
      </c>
      <c r="D296" s="12">
        <v>1.4319299999999999</v>
      </c>
      <c r="E296" s="12">
        <v>-1.07846</v>
      </c>
      <c r="F296" s="12">
        <f>D296/-E296</f>
        <v>1.3277543905198153</v>
      </c>
      <c r="G296" s="7">
        <f t="shared" si="41"/>
        <v>-75.315134119684629</v>
      </c>
      <c r="H296" s="12">
        <f t="shared" si="42"/>
        <v>175.31513411968461</v>
      </c>
    </row>
    <row r="297" spans="1:8">
      <c r="A297" s="4" t="s">
        <v>123</v>
      </c>
      <c r="C297" s="4" t="s">
        <v>286</v>
      </c>
      <c r="D297" s="12">
        <v>3.2638500000000001</v>
      </c>
      <c r="E297" s="12">
        <v>1.1782699999999999</v>
      </c>
      <c r="F297" s="12">
        <f t="shared" ref="F297:F304" si="43">D297/E297</f>
        <v>2.7700357303504295</v>
      </c>
      <c r="G297" s="7">
        <f t="shared" si="41"/>
        <v>36.100617369058014</v>
      </c>
      <c r="H297" s="12">
        <f t="shared" si="42"/>
        <v>63.899382630941986</v>
      </c>
    </row>
    <row r="298" spans="1:8">
      <c r="A298" s="4" t="s">
        <v>122</v>
      </c>
      <c r="C298" s="6" t="s">
        <v>286</v>
      </c>
      <c r="D298" s="12">
        <v>2.4698199999999999</v>
      </c>
      <c r="E298" s="12">
        <v>1.0215700000000001</v>
      </c>
      <c r="F298" s="12">
        <f t="shared" si="43"/>
        <v>2.4176708399815965</v>
      </c>
      <c r="G298" s="7">
        <f t="shared" si="41"/>
        <v>41.362123555562761</v>
      </c>
      <c r="H298" s="12">
        <f t="shared" si="42"/>
        <v>58.637876444437239</v>
      </c>
    </row>
    <row r="299" spans="1:8">
      <c r="A299" s="4" t="s">
        <v>288</v>
      </c>
      <c r="C299" s="4" t="s">
        <v>286</v>
      </c>
      <c r="D299" s="12">
        <v>4.5207800000000002</v>
      </c>
      <c r="E299" s="12">
        <v>2.3081399999999999</v>
      </c>
      <c r="F299" s="12">
        <f t="shared" si="43"/>
        <v>1.9586246934761324</v>
      </c>
      <c r="G299" s="7">
        <f t="shared" si="41"/>
        <v>51.056233658793388</v>
      </c>
      <c r="H299" s="12">
        <f t="shared" si="42"/>
        <v>48.943766341206612</v>
      </c>
    </row>
    <row r="300" spans="1:8">
      <c r="A300" s="4" t="s">
        <v>121</v>
      </c>
      <c r="C300" s="6" t="s">
        <v>286</v>
      </c>
      <c r="D300" s="12">
        <v>1.7060900000000001</v>
      </c>
      <c r="E300" s="12">
        <v>1.2097599999999999</v>
      </c>
      <c r="F300" s="12">
        <f t="shared" si="43"/>
        <v>1.410271458801746</v>
      </c>
      <c r="G300" s="7">
        <f t="shared" si="41"/>
        <v>70.908334261381285</v>
      </c>
      <c r="H300" s="12">
        <f t="shared" si="42"/>
        <v>29.091665738618715</v>
      </c>
    </row>
    <row r="301" spans="1:8">
      <c r="A301" s="4" t="s">
        <v>289</v>
      </c>
      <c r="C301" s="6" t="s">
        <v>286</v>
      </c>
      <c r="D301" s="12">
        <v>1.8297099999999999</v>
      </c>
      <c r="E301" s="12">
        <v>1.3661099999999999</v>
      </c>
      <c r="F301" s="12">
        <f t="shared" si="43"/>
        <v>1.3393577383958832</v>
      </c>
      <c r="G301" s="7">
        <f t="shared" si="41"/>
        <v>74.662651458427831</v>
      </c>
      <c r="H301" s="12">
        <f t="shared" si="42"/>
        <v>25.337348541572169</v>
      </c>
    </row>
    <row r="302" spans="1:8">
      <c r="A302" s="4" t="s">
        <v>288</v>
      </c>
      <c r="C302" s="4" t="s">
        <v>286</v>
      </c>
      <c r="D302" s="12">
        <v>3.4079299999999999</v>
      </c>
      <c r="E302" s="12">
        <v>2.5485899999999999</v>
      </c>
      <c r="F302" s="12">
        <f t="shared" si="43"/>
        <v>1.3371825205309602</v>
      </c>
      <c r="G302" s="7">
        <f t="shared" si="41"/>
        <v>74.784106481060348</v>
      </c>
      <c r="H302" s="12">
        <f t="shared" si="42"/>
        <v>25.215893518939652</v>
      </c>
    </row>
    <row r="303" spans="1:8">
      <c r="A303" s="4" t="s">
        <v>287</v>
      </c>
      <c r="C303" s="4" t="s">
        <v>286</v>
      </c>
      <c r="D303" s="12">
        <v>2.2234400000000001</v>
      </c>
      <c r="E303" s="12">
        <v>1.66767</v>
      </c>
      <c r="F303" s="12">
        <f t="shared" si="43"/>
        <v>1.333261376651256</v>
      </c>
      <c r="G303" s="7">
        <f t="shared" si="41"/>
        <v>75.004047781815558</v>
      </c>
      <c r="H303" s="12">
        <f t="shared" si="42"/>
        <v>24.995952218184442</v>
      </c>
    </row>
    <row r="304" spans="1:8">
      <c r="A304" s="4" t="s">
        <v>713</v>
      </c>
      <c r="C304" s="6"/>
      <c r="D304" s="12">
        <v>1.3489100000000001</v>
      </c>
      <c r="E304" s="12">
        <v>-1.09754</v>
      </c>
      <c r="F304" s="12">
        <f t="shared" si="43"/>
        <v>-1.2290303770249833</v>
      </c>
      <c r="G304" s="7">
        <f t="shared" ref="G304:G335" si="44">E304*100/D304</f>
        <v>-81.364953925762265</v>
      </c>
      <c r="H304" s="12">
        <f t="shared" si="42"/>
        <v>181.36495392576228</v>
      </c>
    </row>
    <row r="305" spans="1:8">
      <c r="A305" s="4" t="s">
        <v>714</v>
      </c>
      <c r="C305" s="6"/>
      <c r="D305" s="12">
        <v>1.56924</v>
      </c>
      <c r="E305" s="12">
        <v>-1.16551</v>
      </c>
      <c r="F305" s="12">
        <f t="shared" ref="F305:F314" si="45">D305/-E305</f>
        <v>1.3463977143053254</v>
      </c>
      <c r="G305" s="7">
        <f t="shared" si="44"/>
        <v>-74.272259182789128</v>
      </c>
      <c r="H305" s="12">
        <f t="shared" si="42"/>
        <v>174.27225918278913</v>
      </c>
    </row>
    <row r="306" spans="1:8">
      <c r="A306" s="4" t="s">
        <v>715</v>
      </c>
      <c r="C306" s="6"/>
      <c r="D306" s="12">
        <v>1.40388</v>
      </c>
      <c r="E306" s="12">
        <v>-1.0268299999999999</v>
      </c>
      <c r="F306" s="12">
        <f t="shared" si="45"/>
        <v>1.3671980756308251</v>
      </c>
      <c r="G306" s="7">
        <f t="shared" si="44"/>
        <v>-73.142291363934234</v>
      </c>
      <c r="H306" s="12">
        <f t="shared" si="42"/>
        <v>173.14229136393425</v>
      </c>
    </row>
    <row r="307" spans="1:8">
      <c r="A307" s="4" t="s">
        <v>716</v>
      </c>
      <c r="C307" s="6"/>
      <c r="D307" s="12">
        <v>2.0678299999999998</v>
      </c>
      <c r="E307" s="12">
        <v>-1.50665</v>
      </c>
      <c r="F307" s="12">
        <f t="shared" si="45"/>
        <v>1.3724687219991369</v>
      </c>
      <c r="G307" s="7">
        <f t="shared" si="44"/>
        <v>-72.861405434682737</v>
      </c>
      <c r="H307" s="12">
        <f t="shared" si="42"/>
        <v>172.86140543468275</v>
      </c>
    </row>
    <row r="308" spans="1:8">
      <c r="A308" s="4" t="s">
        <v>717</v>
      </c>
      <c r="C308" s="6"/>
      <c r="D308" s="12">
        <v>1.54636</v>
      </c>
      <c r="E308" s="12">
        <v>-1.09561</v>
      </c>
      <c r="F308" s="12">
        <f t="shared" si="45"/>
        <v>1.4114146457224743</v>
      </c>
      <c r="G308" s="7">
        <f t="shared" si="44"/>
        <v>-70.850901471843557</v>
      </c>
      <c r="H308" s="12">
        <f t="shared" si="42"/>
        <v>170.85090147184354</v>
      </c>
    </row>
    <row r="309" spans="1:8">
      <c r="A309" s="4" t="s">
        <v>718</v>
      </c>
      <c r="C309" s="6"/>
      <c r="D309" s="12">
        <v>1.57396</v>
      </c>
      <c r="E309" s="12">
        <v>-1.04884</v>
      </c>
      <c r="F309" s="12">
        <f t="shared" si="45"/>
        <v>1.500667403989169</v>
      </c>
      <c r="G309" s="7">
        <f t="shared" si="44"/>
        <v>-66.637017459147629</v>
      </c>
      <c r="H309" s="12">
        <f t="shared" si="42"/>
        <v>166.63701745914761</v>
      </c>
    </row>
    <row r="310" spans="1:8">
      <c r="A310" s="4" t="s">
        <v>719</v>
      </c>
      <c r="C310" s="6"/>
      <c r="D310" s="12">
        <v>1.6714899999999999</v>
      </c>
      <c r="E310" s="12">
        <v>-1.09717</v>
      </c>
      <c r="F310" s="12">
        <f t="shared" si="45"/>
        <v>1.5234557999216165</v>
      </c>
      <c r="G310" s="7">
        <f t="shared" si="44"/>
        <v>-65.640237153677262</v>
      </c>
      <c r="H310" s="12">
        <f t="shared" si="42"/>
        <v>165.64023715367728</v>
      </c>
    </row>
    <row r="311" spans="1:8">
      <c r="A311" s="4" t="s">
        <v>720</v>
      </c>
      <c r="C311" s="6"/>
      <c r="D311" s="12">
        <v>1.77139</v>
      </c>
      <c r="E311" s="12">
        <v>-1.1121000000000001</v>
      </c>
      <c r="F311" s="12">
        <f t="shared" si="45"/>
        <v>1.5928333782933188</v>
      </c>
      <c r="G311" s="7">
        <f t="shared" si="44"/>
        <v>-62.781205719801967</v>
      </c>
      <c r="H311" s="12">
        <f t="shared" si="42"/>
        <v>162.78120571980196</v>
      </c>
    </row>
    <row r="312" spans="1:8">
      <c r="A312" s="4" t="s">
        <v>721</v>
      </c>
      <c r="C312" s="6"/>
      <c r="D312" s="12">
        <v>1.7091799999999999</v>
      </c>
      <c r="E312" s="12">
        <v>-1.00763</v>
      </c>
      <c r="F312" s="12">
        <f t="shared" si="45"/>
        <v>1.6962377063009237</v>
      </c>
      <c r="G312" s="7">
        <f t="shared" si="44"/>
        <v>-58.954001333973025</v>
      </c>
      <c r="H312" s="12">
        <f t="shared" si="42"/>
        <v>158.95400133397303</v>
      </c>
    </row>
    <row r="313" spans="1:8">
      <c r="A313" s="4" t="s">
        <v>722</v>
      </c>
      <c r="C313" s="6"/>
      <c r="D313" s="12">
        <v>4.25936</v>
      </c>
      <c r="E313" s="12">
        <v>-1.19384</v>
      </c>
      <c r="F313" s="12">
        <f t="shared" si="45"/>
        <v>3.5677812772230784</v>
      </c>
      <c r="G313" s="7">
        <f t="shared" si="44"/>
        <v>-28.028624018631906</v>
      </c>
      <c r="H313" s="12">
        <f t="shared" si="42"/>
        <v>128.02862401863192</v>
      </c>
    </row>
    <row r="314" spans="1:8">
      <c r="A314" s="4" t="s">
        <v>723</v>
      </c>
      <c r="C314" s="6"/>
      <c r="D314" s="12">
        <v>6.8624700000000001</v>
      </c>
      <c r="E314" s="12">
        <v>-1.0221800000000001</v>
      </c>
      <c r="F314" s="12">
        <f t="shared" si="45"/>
        <v>6.713563168913498</v>
      </c>
      <c r="G314" s="7">
        <f t="shared" si="44"/>
        <v>-14.895219942673702</v>
      </c>
      <c r="H314" s="12">
        <f t="shared" si="42"/>
        <v>114.89521994267371</v>
      </c>
    </row>
    <row r="315" spans="1:8">
      <c r="A315" s="4" t="s">
        <v>724</v>
      </c>
      <c r="C315" s="6"/>
      <c r="D315" s="12">
        <v>27.488199999999999</v>
      </c>
      <c r="E315" s="12">
        <v>1.00892</v>
      </c>
      <c r="F315" s="12">
        <f t="shared" ref="F315:F346" si="46">D315/E315</f>
        <v>27.245173056337467</v>
      </c>
      <c r="G315" s="7">
        <f t="shared" si="44"/>
        <v>3.6703749245130641</v>
      </c>
      <c r="H315" s="12">
        <f t="shared" si="42"/>
        <v>96.329625075486931</v>
      </c>
    </row>
    <row r="316" spans="1:8">
      <c r="A316" s="4" t="s">
        <v>725</v>
      </c>
      <c r="C316" s="6"/>
      <c r="D316" s="12">
        <v>14.073399999999999</v>
      </c>
      <c r="E316" s="12">
        <v>1.3015000000000001</v>
      </c>
      <c r="F316" s="12">
        <f t="shared" si="46"/>
        <v>10.813215520553207</v>
      </c>
      <c r="G316" s="7">
        <f t="shared" si="44"/>
        <v>9.2479429277928578</v>
      </c>
      <c r="H316" s="12">
        <f t="shared" si="42"/>
        <v>90.752057072207137</v>
      </c>
    </row>
    <row r="317" spans="1:8">
      <c r="A317" s="4" t="s">
        <v>726</v>
      </c>
      <c r="C317" s="6"/>
      <c r="D317" s="12">
        <v>8.1143599999999996</v>
      </c>
      <c r="E317" s="12">
        <v>1.08107</v>
      </c>
      <c r="F317" s="12">
        <f t="shared" si="46"/>
        <v>7.5058599350643345</v>
      </c>
      <c r="G317" s="7">
        <f t="shared" si="44"/>
        <v>13.322923804218695</v>
      </c>
      <c r="H317" s="12">
        <f t="shared" si="42"/>
        <v>86.677076195781311</v>
      </c>
    </row>
    <row r="318" spans="1:8">
      <c r="A318" s="4" t="s">
        <v>727</v>
      </c>
      <c r="C318" s="6"/>
      <c r="D318" s="12">
        <v>6.9061399999999997</v>
      </c>
      <c r="E318" s="12">
        <v>1.01827</v>
      </c>
      <c r="F318" s="12">
        <f t="shared" si="46"/>
        <v>6.7822286819802207</v>
      </c>
      <c r="G318" s="7">
        <f t="shared" si="44"/>
        <v>14.744415838659512</v>
      </c>
      <c r="H318" s="12">
        <f t="shared" si="42"/>
        <v>85.255584161340494</v>
      </c>
    </row>
    <row r="319" spans="1:8">
      <c r="A319" s="4" t="s">
        <v>728</v>
      </c>
      <c r="C319" s="6"/>
      <c r="D319" s="12">
        <v>8.8443400000000008</v>
      </c>
      <c r="E319" s="12">
        <v>1.46824</v>
      </c>
      <c r="F319" s="12">
        <f t="shared" si="46"/>
        <v>6.0237699558655269</v>
      </c>
      <c r="G319" s="7">
        <f t="shared" si="44"/>
        <v>16.600899558361618</v>
      </c>
      <c r="H319" s="12">
        <f t="shared" si="42"/>
        <v>83.399100441638382</v>
      </c>
    </row>
    <row r="320" spans="1:8">
      <c r="A320" s="4" t="s">
        <v>729</v>
      </c>
      <c r="C320" s="6"/>
      <c r="D320" s="12">
        <v>11.298400000000001</v>
      </c>
      <c r="E320" s="12">
        <v>1.8991899999999999</v>
      </c>
      <c r="F320" s="12">
        <f t="shared" si="46"/>
        <v>5.9490624950636857</v>
      </c>
      <c r="G320" s="7">
        <f t="shared" si="44"/>
        <v>16.809371238405436</v>
      </c>
      <c r="H320" s="12">
        <f t="shared" si="42"/>
        <v>83.190628761594567</v>
      </c>
    </row>
    <row r="321" spans="1:8">
      <c r="A321" s="4" t="s">
        <v>730</v>
      </c>
      <c r="C321" s="6"/>
      <c r="D321" s="12">
        <v>4.3637100000000002</v>
      </c>
      <c r="E321" s="12">
        <v>1.0649299999999999</v>
      </c>
      <c r="F321" s="12">
        <f t="shared" si="46"/>
        <v>4.0976496107725398</v>
      </c>
      <c r="G321" s="7">
        <f t="shared" si="44"/>
        <v>24.40423401188438</v>
      </c>
      <c r="H321" s="12">
        <f t="shared" si="42"/>
        <v>75.595765988115616</v>
      </c>
    </row>
    <row r="322" spans="1:8">
      <c r="A322" s="4" t="s">
        <v>731</v>
      </c>
      <c r="C322" s="6"/>
      <c r="D322" s="12">
        <v>5.4634900000000002</v>
      </c>
      <c r="E322" s="12">
        <v>1.3709499999999999</v>
      </c>
      <c r="F322" s="12">
        <f t="shared" si="46"/>
        <v>3.9851854553411874</v>
      </c>
      <c r="G322" s="7">
        <f t="shared" si="44"/>
        <v>25.092935101922031</v>
      </c>
      <c r="H322" s="12">
        <f t="shared" si="42"/>
        <v>74.907064898077977</v>
      </c>
    </row>
    <row r="323" spans="1:8">
      <c r="A323" s="4" t="s">
        <v>732</v>
      </c>
      <c r="C323" s="6"/>
      <c r="D323" s="12">
        <v>4.9466900000000003</v>
      </c>
      <c r="E323" s="12">
        <v>1.2915300000000001</v>
      </c>
      <c r="F323" s="12">
        <f t="shared" si="46"/>
        <v>3.8301007332388717</v>
      </c>
      <c r="G323" s="7">
        <f t="shared" si="44"/>
        <v>26.108973879503267</v>
      </c>
      <c r="H323" s="12">
        <f t="shared" si="42"/>
        <v>73.891026120496733</v>
      </c>
    </row>
    <row r="324" spans="1:8">
      <c r="A324" s="4" t="s">
        <v>733</v>
      </c>
      <c r="C324" s="6"/>
      <c r="D324" s="12">
        <v>5.2111200000000002</v>
      </c>
      <c r="E324" s="12">
        <v>1.4113199999999999</v>
      </c>
      <c r="F324" s="12">
        <f t="shared" si="46"/>
        <v>3.6923730975257212</v>
      </c>
      <c r="G324" s="7">
        <f t="shared" si="44"/>
        <v>27.082853590015198</v>
      </c>
      <c r="H324" s="12">
        <f t="shared" ref="H324:H355" si="47">100-G324</f>
        <v>72.917146409984809</v>
      </c>
    </row>
    <row r="325" spans="1:8">
      <c r="A325" s="4" t="s">
        <v>734</v>
      </c>
      <c r="C325" s="6"/>
      <c r="D325" s="12">
        <v>5.8455899999999996</v>
      </c>
      <c r="E325" s="12">
        <v>1.6380999999999999</v>
      </c>
      <c r="F325" s="12">
        <f t="shared" si="46"/>
        <v>3.5685184054697516</v>
      </c>
      <c r="G325" s="7">
        <f t="shared" si="44"/>
        <v>28.022834307572037</v>
      </c>
      <c r="H325" s="12">
        <f t="shared" si="47"/>
        <v>71.97716569242796</v>
      </c>
    </row>
    <row r="326" spans="1:8">
      <c r="A326" s="4" t="s">
        <v>680</v>
      </c>
      <c r="C326" s="6"/>
      <c r="D326" s="12">
        <v>7.7102000000000004</v>
      </c>
      <c r="E326" s="12">
        <v>2.1778300000000002</v>
      </c>
      <c r="F326" s="12">
        <f t="shared" si="46"/>
        <v>3.5403130639214262</v>
      </c>
      <c r="G326" s="7">
        <f t="shared" si="44"/>
        <v>28.246089595600633</v>
      </c>
      <c r="H326" s="12">
        <f t="shared" si="47"/>
        <v>71.753910404399363</v>
      </c>
    </row>
    <row r="327" spans="1:8">
      <c r="A327" s="4" t="s">
        <v>681</v>
      </c>
      <c r="C327" s="6"/>
      <c r="D327" s="12">
        <v>3.5160800000000001</v>
      </c>
      <c r="E327" s="12">
        <v>1.13578</v>
      </c>
      <c r="F327" s="12">
        <f t="shared" si="46"/>
        <v>3.0957403722551904</v>
      </c>
      <c r="G327" s="7">
        <f t="shared" si="44"/>
        <v>32.302450456189845</v>
      </c>
      <c r="H327" s="12">
        <f t="shared" si="47"/>
        <v>67.697549543810155</v>
      </c>
    </row>
    <row r="328" spans="1:8">
      <c r="A328" s="4" t="s">
        <v>682</v>
      </c>
      <c r="C328" s="6"/>
      <c r="D328" s="12">
        <v>4.0780200000000004</v>
      </c>
      <c r="E328" s="12">
        <v>1.3754900000000001</v>
      </c>
      <c r="F328" s="12">
        <f t="shared" si="46"/>
        <v>2.9647761888490649</v>
      </c>
      <c r="G328" s="7">
        <f t="shared" si="44"/>
        <v>33.729358855523024</v>
      </c>
      <c r="H328" s="12">
        <f t="shared" si="47"/>
        <v>66.270641144476969</v>
      </c>
    </row>
    <row r="329" spans="1:8">
      <c r="A329" s="4" t="s">
        <v>683</v>
      </c>
      <c r="C329" s="6"/>
      <c r="D329" s="12">
        <v>3.3047800000000001</v>
      </c>
      <c r="E329" s="12">
        <v>1.1616599999999999</v>
      </c>
      <c r="F329" s="12">
        <f t="shared" si="46"/>
        <v>2.8448771585489734</v>
      </c>
      <c r="G329" s="7">
        <f t="shared" si="44"/>
        <v>35.150902631945243</v>
      </c>
      <c r="H329" s="12">
        <f t="shared" si="47"/>
        <v>64.849097368054757</v>
      </c>
    </row>
    <row r="330" spans="1:8">
      <c r="A330" s="4" t="s">
        <v>684</v>
      </c>
      <c r="C330" s="6"/>
      <c r="D330" s="12">
        <v>5.4002100000000004</v>
      </c>
      <c r="E330" s="12">
        <v>1.9365000000000001</v>
      </c>
      <c r="F330" s="12">
        <f t="shared" si="46"/>
        <v>2.7886444616576296</v>
      </c>
      <c r="G330" s="7">
        <f t="shared" si="44"/>
        <v>35.859716566577966</v>
      </c>
      <c r="H330" s="12">
        <f t="shared" si="47"/>
        <v>64.140283433422042</v>
      </c>
    </row>
    <row r="331" spans="1:8">
      <c r="A331" s="4" t="s">
        <v>685</v>
      </c>
      <c r="C331" s="6"/>
      <c r="D331" s="12">
        <v>7.1423699999999997</v>
      </c>
      <c r="E331" s="12">
        <v>2.5644900000000002</v>
      </c>
      <c r="F331" s="12">
        <f t="shared" si="46"/>
        <v>2.7851034708655518</v>
      </c>
      <c r="G331" s="7">
        <f t="shared" si="44"/>
        <v>35.905308742056214</v>
      </c>
      <c r="H331" s="12">
        <f t="shared" si="47"/>
        <v>64.094691257943794</v>
      </c>
    </row>
    <row r="332" spans="1:8">
      <c r="A332" s="4" t="s">
        <v>686</v>
      </c>
      <c r="C332" s="6"/>
      <c r="D332" s="12">
        <v>7.3318399999999997</v>
      </c>
      <c r="E332" s="12">
        <v>2.67422</v>
      </c>
      <c r="F332" s="12">
        <f t="shared" si="46"/>
        <v>2.7416742078063883</v>
      </c>
      <c r="G332" s="7">
        <f t="shared" si="44"/>
        <v>36.474063809357546</v>
      </c>
      <c r="H332" s="12">
        <f t="shared" si="47"/>
        <v>63.525936190642454</v>
      </c>
    </row>
    <row r="333" spans="1:8">
      <c r="A333" s="4" t="s">
        <v>687</v>
      </c>
      <c r="C333" s="6"/>
      <c r="D333" s="12">
        <v>3.3931200000000001</v>
      </c>
      <c r="E333" s="12">
        <v>1.2594399999999999</v>
      </c>
      <c r="F333" s="12">
        <f t="shared" si="46"/>
        <v>2.6941497808549837</v>
      </c>
      <c r="G333" s="7">
        <f t="shared" si="44"/>
        <v>37.117461215636339</v>
      </c>
      <c r="H333" s="12">
        <f t="shared" si="47"/>
        <v>62.882538784363661</v>
      </c>
    </row>
    <row r="334" spans="1:8">
      <c r="A334" s="4" t="s">
        <v>687</v>
      </c>
      <c r="C334" s="6"/>
      <c r="D334" s="12">
        <v>3.58161</v>
      </c>
      <c r="E334" s="12">
        <v>1.3506199999999999</v>
      </c>
      <c r="F334" s="12">
        <f t="shared" si="46"/>
        <v>2.6518265685388935</v>
      </c>
      <c r="G334" s="7">
        <f t="shared" si="44"/>
        <v>37.709856740404447</v>
      </c>
      <c r="H334" s="12">
        <f t="shared" si="47"/>
        <v>62.290143259595553</v>
      </c>
    </row>
    <row r="335" spans="1:8">
      <c r="A335" s="4" t="s">
        <v>682</v>
      </c>
      <c r="C335" s="6"/>
      <c r="D335" s="12">
        <v>3.7873700000000001</v>
      </c>
      <c r="E335" s="12">
        <v>1.48759</v>
      </c>
      <c r="F335" s="12">
        <f t="shared" si="46"/>
        <v>2.5459770501280596</v>
      </c>
      <c r="G335" s="7">
        <f t="shared" si="44"/>
        <v>39.277651774186303</v>
      </c>
      <c r="H335" s="12">
        <f t="shared" si="47"/>
        <v>60.722348225813697</v>
      </c>
    </row>
    <row r="336" spans="1:8">
      <c r="A336" s="4" t="s">
        <v>688</v>
      </c>
      <c r="C336" s="6"/>
      <c r="D336" s="12">
        <v>3.1726299999999998</v>
      </c>
      <c r="E336" s="12">
        <v>1.26556</v>
      </c>
      <c r="F336" s="12">
        <f t="shared" si="46"/>
        <v>2.5068981320522137</v>
      </c>
      <c r="G336" s="7">
        <f t="shared" ref="G336:G367" si="48">E336*100/D336</f>
        <v>39.889933588221758</v>
      </c>
      <c r="H336" s="12">
        <f t="shared" si="47"/>
        <v>60.110066411778242</v>
      </c>
    </row>
    <row r="337" spans="1:8">
      <c r="A337" s="4" t="s">
        <v>689</v>
      </c>
      <c r="C337" s="6"/>
      <c r="D337" s="12">
        <v>6.8521400000000003</v>
      </c>
      <c r="E337" s="12">
        <v>2.7604899999999999</v>
      </c>
      <c r="F337" s="12">
        <f t="shared" si="46"/>
        <v>2.4822187365286599</v>
      </c>
      <c r="G337" s="7">
        <f t="shared" si="48"/>
        <v>40.286538220176467</v>
      </c>
      <c r="H337" s="12">
        <f t="shared" si="47"/>
        <v>59.713461779823533</v>
      </c>
    </row>
    <row r="338" spans="1:8">
      <c r="A338" s="4" t="s">
        <v>690</v>
      </c>
      <c r="C338" s="6"/>
      <c r="D338" s="12">
        <v>3.5867</v>
      </c>
      <c r="E338" s="12">
        <v>1.46201</v>
      </c>
      <c r="F338" s="12">
        <f t="shared" si="46"/>
        <v>2.4532663935267198</v>
      </c>
      <c r="G338" s="7">
        <f t="shared" si="48"/>
        <v>40.761981765968713</v>
      </c>
      <c r="H338" s="12">
        <f t="shared" si="47"/>
        <v>59.238018234031287</v>
      </c>
    </row>
    <row r="339" spans="1:8">
      <c r="A339" s="4" t="s">
        <v>691</v>
      </c>
      <c r="C339" s="6"/>
      <c r="D339" s="12">
        <v>3.0537000000000001</v>
      </c>
      <c r="E339" s="12">
        <v>1.2575000000000001</v>
      </c>
      <c r="F339" s="12">
        <f t="shared" si="46"/>
        <v>2.4283896620278331</v>
      </c>
      <c r="G339" s="7">
        <f t="shared" si="48"/>
        <v>41.179552673805546</v>
      </c>
      <c r="H339" s="12">
        <f t="shared" si="47"/>
        <v>58.820447326194454</v>
      </c>
    </row>
    <row r="340" spans="1:8">
      <c r="A340" s="4" t="s">
        <v>692</v>
      </c>
      <c r="C340" s="6"/>
      <c r="D340" s="12">
        <v>4.2181600000000001</v>
      </c>
      <c r="E340" s="12">
        <v>1.7601599999999999</v>
      </c>
      <c r="F340" s="12">
        <f t="shared" si="46"/>
        <v>2.3964639578220162</v>
      </c>
      <c r="G340" s="7">
        <f t="shared" si="48"/>
        <v>41.728146869725187</v>
      </c>
      <c r="H340" s="12">
        <f t="shared" si="47"/>
        <v>58.271853130274813</v>
      </c>
    </row>
    <row r="341" spans="1:8">
      <c r="A341" s="4" t="s">
        <v>693</v>
      </c>
      <c r="C341" s="6"/>
      <c r="D341" s="12">
        <v>2.5946799999999999</v>
      </c>
      <c r="E341" s="12">
        <v>1.12466</v>
      </c>
      <c r="F341" s="12">
        <f t="shared" si="46"/>
        <v>2.3070794729073674</v>
      </c>
      <c r="G341" s="7">
        <f t="shared" si="48"/>
        <v>43.344844065549509</v>
      </c>
      <c r="H341" s="12">
        <f t="shared" si="47"/>
        <v>56.655155934450491</v>
      </c>
    </row>
    <row r="342" spans="1:8">
      <c r="A342" s="4" t="s">
        <v>694</v>
      </c>
      <c r="C342" s="6"/>
      <c r="D342" s="12">
        <v>4.9571500000000004</v>
      </c>
      <c r="E342" s="12">
        <v>2.1491500000000001</v>
      </c>
      <c r="F342" s="12">
        <f t="shared" si="46"/>
        <v>2.3065630598143452</v>
      </c>
      <c r="G342" s="7">
        <f t="shared" si="48"/>
        <v>43.354548480477696</v>
      </c>
      <c r="H342" s="12">
        <f t="shared" si="47"/>
        <v>56.645451519522304</v>
      </c>
    </row>
    <row r="343" spans="1:8">
      <c r="A343" s="4" t="s">
        <v>695</v>
      </c>
      <c r="C343" s="6"/>
      <c r="D343" s="12">
        <v>2.41167</v>
      </c>
      <c r="E343" s="12">
        <v>1.06342</v>
      </c>
      <c r="F343" s="12">
        <f t="shared" si="46"/>
        <v>2.2678433732673824</v>
      </c>
      <c r="G343" s="7">
        <f t="shared" si="48"/>
        <v>44.094755916024994</v>
      </c>
      <c r="H343" s="12">
        <f t="shared" si="47"/>
        <v>55.905244083975006</v>
      </c>
    </row>
    <row r="344" spans="1:8">
      <c r="A344" s="4" t="s">
        <v>696</v>
      </c>
      <c r="C344" s="6"/>
      <c r="D344" s="12">
        <v>4.3471799999999998</v>
      </c>
      <c r="E344" s="12">
        <v>1.92113</v>
      </c>
      <c r="F344" s="12">
        <f t="shared" si="46"/>
        <v>2.2628244835071025</v>
      </c>
      <c r="G344" s="7">
        <f t="shared" si="48"/>
        <v>44.192557013972277</v>
      </c>
      <c r="H344" s="12">
        <f t="shared" si="47"/>
        <v>55.807442986027723</v>
      </c>
    </row>
    <row r="345" spans="1:8">
      <c r="A345" s="4" t="s">
        <v>697</v>
      </c>
      <c r="C345" s="6"/>
      <c r="D345" s="12">
        <v>4.3406399999999996</v>
      </c>
      <c r="E345" s="12">
        <v>1.9658</v>
      </c>
      <c r="F345" s="12">
        <f t="shared" si="46"/>
        <v>2.208078136127785</v>
      </c>
      <c r="G345" s="7">
        <f t="shared" si="48"/>
        <v>45.288252423605741</v>
      </c>
      <c r="H345" s="12">
        <f t="shared" si="47"/>
        <v>54.711747576394259</v>
      </c>
    </row>
    <row r="346" spans="1:8">
      <c r="A346" s="4" t="s">
        <v>698</v>
      </c>
      <c r="C346" s="6"/>
      <c r="D346" s="12">
        <v>2.63619</v>
      </c>
      <c r="E346" s="12">
        <v>1.2407699999999999</v>
      </c>
      <c r="F346" s="12">
        <f t="shared" si="46"/>
        <v>2.1246403443023287</v>
      </c>
      <c r="G346" s="7">
        <f t="shared" si="48"/>
        <v>47.066789571313144</v>
      </c>
      <c r="H346" s="12">
        <f t="shared" si="47"/>
        <v>52.933210428686856</v>
      </c>
    </row>
    <row r="347" spans="1:8">
      <c r="A347" s="4" t="s">
        <v>699</v>
      </c>
      <c r="C347" s="6"/>
      <c r="D347" s="12">
        <v>2.2883900000000001</v>
      </c>
      <c r="E347" s="12">
        <v>1.0786199999999999</v>
      </c>
      <c r="F347" s="12">
        <f t="shared" ref="F347:F378" si="49">D347/E347</f>
        <v>2.1215905508890995</v>
      </c>
      <c r="G347" s="7">
        <f t="shared" si="48"/>
        <v>47.134448236533103</v>
      </c>
      <c r="H347" s="12">
        <f t="shared" si="47"/>
        <v>52.865551763466897</v>
      </c>
    </row>
    <row r="348" spans="1:8">
      <c r="A348" s="4" t="s">
        <v>700</v>
      </c>
      <c r="C348" s="6"/>
      <c r="D348" s="12">
        <v>2.24655</v>
      </c>
      <c r="E348" s="12">
        <v>1.06843</v>
      </c>
      <c r="F348" s="12">
        <f t="shared" si="49"/>
        <v>2.1026646574880901</v>
      </c>
      <c r="G348" s="7">
        <f t="shared" si="48"/>
        <v>47.558701119494337</v>
      </c>
      <c r="H348" s="12">
        <f t="shared" si="47"/>
        <v>52.441298880505663</v>
      </c>
    </row>
    <row r="349" spans="1:8">
      <c r="A349" s="4" t="s">
        <v>701</v>
      </c>
      <c r="C349" s="6"/>
      <c r="D349" s="12">
        <v>3.1791299999999998</v>
      </c>
      <c r="E349" s="12">
        <v>1.5348299999999999</v>
      </c>
      <c r="F349" s="12">
        <f t="shared" si="49"/>
        <v>2.0713238599714625</v>
      </c>
      <c r="G349" s="7">
        <f t="shared" si="48"/>
        <v>48.278302554472454</v>
      </c>
      <c r="H349" s="12">
        <f t="shared" si="47"/>
        <v>51.721697445527546</v>
      </c>
    </row>
    <row r="350" spans="1:8">
      <c r="A350" s="4" t="s">
        <v>702</v>
      </c>
      <c r="C350" s="6"/>
      <c r="D350" s="12">
        <v>21.288599999999999</v>
      </c>
      <c r="E350" s="12">
        <v>10.3552</v>
      </c>
      <c r="F350" s="12">
        <f t="shared" si="49"/>
        <v>2.0558366810877624</v>
      </c>
      <c r="G350" s="7">
        <f t="shared" si="48"/>
        <v>48.641996185751999</v>
      </c>
      <c r="H350" s="12">
        <f t="shared" si="47"/>
        <v>51.358003814248001</v>
      </c>
    </row>
    <row r="351" spans="1:8">
      <c r="A351" s="4" t="s">
        <v>480</v>
      </c>
      <c r="C351" s="6"/>
      <c r="D351" s="12">
        <v>3.40246</v>
      </c>
      <c r="E351" s="12">
        <v>1.6626399999999999</v>
      </c>
      <c r="F351" s="12">
        <f t="shared" si="49"/>
        <v>2.0464201510850217</v>
      </c>
      <c r="G351" s="7">
        <f t="shared" si="48"/>
        <v>48.865820612145328</v>
      </c>
      <c r="H351" s="12">
        <f t="shared" si="47"/>
        <v>51.134179387854672</v>
      </c>
    </row>
    <row r="352" spans="1:8">
      <c r="A352" s="4" t="s">
        <v>481</v>
      </c>
      <c r="C352" s="6"/>
      <c r="D352" s="12">
        <v>7.4359299999999999</v>
      </c>
      <c r="E352" s="12">
        <v>3.6749999999999998</v>
      </c>
      <c r="F352" s="12">
        <f t="shared" si="49"/>
        <v>2.02338231292517</v>
      </c>
      <c r="G352" s="7">
        <f t="shared" si="48"/>
        <v>49.422197357963292</v>
      </c>
      <c r="H352" s="12">
        <f t="shared" si="47"/>
        <v>50.577802642036708</v>
      </c>
    </row>
    <row r="353" spans="1:8">
      <c r="A353" s="4" t="s">
        <v>482</v>
      </c>
      <c r="C353" s="6"/>
      <c r="D353" s="12">
        <v>3.7043499999999998</v>
      </c>
      <c r="E353" s="12">
        <v>1.84527</v>
      </c>
      <c r="F353" s="12">
        <f t="shared" si="49"/>
        <v>2.0074839996314902</v>
      </c>
      <c r="G353" s="7">
        <f t="shared" si="48"/>
        <v>49.813597527231494</v>
      </c>
      <c r="H353" s="12">
        <f t="shared" si="47"/>
        <v>50.186402472768506</v>
      </c>
    </row>
    <row r="354" spans="1:8">
      <c r="A354" s="4" t="s">
        <v>483</v>
      </c>
      <c r="C354" s="6"/>
      <c r="D354" s="12">
        <v>3.0233300000000001</v>
      </c>
      <c r="E354" s="12">
        <v>1.5358400000000001</v>
      </c>
      <c r="F354" s="12">
        <f t="shared" si="49"/>
        <v>1.9685188561308469</v>
      </c>
      <c r="G354" s="7">
        <f t="shared" si="48"/>
        <v>50.799614994062836</v>
      </c>
      <c r="H354" s="12">
        <f t="shared" si="47"/>
        <v>49.200385005937164</v>
      </c>
    </row>
    <row r="355" spans="1:8">
      <c r="A355" s="4" t="s">
        <v>484</v>
      </c>
      <c r="C355" s="6"/>
      <c r="D355" s="12">
        <v>2.3529300000000002</v>
      </c>
      <c r="E355" s="12">
        <v>1.1981200000000001</v>
      </c>
      <c r="F355" s="12">
        <f t="shared" si="49"/>
        <v>1.9638517009982306</v>
      </c>
      <c r="G355" s="7">
        <f t="shared" si="48"/>
        <v>50.92034187162389</v>
      </c>
      <c r="H355" s="12">
        <f t="shared" si="47"/>
        <v>49.07965812837611</v>
      </c>
    </row>
    <row r="356" spans="1:8">
      <c r="A356" s="4" t="s">
        <v>485</v>
      </c>
      <c r="C356" s="6"/>
      <c r="D356" s="12">
        <v>2.5680000000000001</v>
      </c>
      <c r="E356" s="12">
        <v>1.3108599999999999</v>
      </c>
      <c r="F356" s="12">
        <f t="shared" si="49"/>
        <v>1.9590192697923503</v>
      </c>
      <c r="G356" s="7">
        <f t="shared" si="48"/>
        <v>51.045950155763229</v>
      </c>
      <c r="H356" s="12">
        <f t="shared" ref="H356:H387" si="50">100-G356</f>
        <v>48.954049844236771</v>
      </c>
    </row>
    <row r="357" spans="1:8">
      <c r="A357" s="4" t="s">
        <v>486</v>
      </c>
      <c r="C357" s="6"/>
      <c r="D357" s="12">
        <v>2.2413099999999999</v>
      </c>
      <c r="E357" s="12">
        <v>1.1461300000000001</v>
      </c>
      <c r="F357" s="12">
        <f t="shared" si="49"/>
        <v>1.9555460549850363</v>
      </c>
      <c r="G357" s="7">
        <f t="shared" si="48"/>
        <v>51.136612070619421</v>
      </c>
      <c r="H357" s="12">
        <f t="shared" si="50"/>
        <v>48.863387929380579</v>
      </c>
    </row>
    <row r="358" spans="1:8">
      <c r="A358" s="4" t="s">
        <v>487</v>
      </c>
      <c r="C358" s="6"/>
      <c r="D358" s="12">
        <v>5.3089199999999996</v>
      </c>
      <c r="E358" s="12">
        <v>2.82375</v>
      </c>
      <c r="F358" s="12">
        <f t="shared" si="49"/>
        <v>1.8800956175298804</v>
      </c>
      <c r="G358" s="7">
        <f t="shared" si="48"/>
        <v>53.188784159490069</v>
      </c>
      <c r="H358" s="12">
        <f t="shared" si="50"/>
        <v>46.811215840509931</v>
      </c>
    </row>
    <row r="359" spans="1:8">
      <c r="A359" s="4" t="s">
        <v>488</v>
      </c>
      <c r="C359" s="6"/>
      <c r="D359" s="12">
        <v>2.13876</v>
      </c>
      <c r="E359" s="12">
        <v>1.1518699999999999</v>
      </c>
      <c r="F359" s="12">
        <f t="shared" si="49"/>
        <v>1.8567720315660623</v>
      </c>
      <c r="G359" s="7">
        <f t="shared" si="48"/>
        <v>53.856907740933998</v>
      </c>
      <c r="H359" s="12">
        <f t="shared" si="50"/>
        <v>46.143092259066002</v>
      </c>
    </row>
    <row r="360" spans="1:8">
      <c r="A360" s="4" t="s">
        <v>489</v>
      </c>
      <c r="C360" s="6"/>
      <c r="D360" s="12">
        <v>2.1382099999999999</v>
      </c>
      <c r="E360" s="12">
        <v>1.1555800000000001</v>
      </c>
      <c r="F360" s="12">
        <f t="shared" si="49"/>
        <v>1.8503348967617992</v>
      </c>
      <c r="G360" s="7">
        <f t="shared" si="48"/>
        <v>54.044270675003865</v>
      </c>
      <c r="H360" s="12">
        <f t="shared" si="50"/>
        <v>45.955729324996135</v>
      </c>
    </row>
    <row r="361" spans="1:8">
      <c r="A361" s="4" t="s">
        <v>490</v>
      </c>
      <c r="C361" s="6"/>
      <c r="D361" s="12">
        <v>2.7193499999999999</v>
      </c>
      <c r="E361" s="12">
        <v>1.4947299999999999</v>
      </c>
      <c r="F361" s="12">
        <f t="shared" si="49"/>
        <v>1.8192917784482818</v>
      </c>
      <c r="G361" s="7">
        <f t="shared" si="48"/>
        <v>54.966444187029985</v>
      </c>
      <c r="H361" s="12">
        <f t="shared" si="50"/>
        <v>45.033555812970015</v>
      </c>
    </row>
    <row r="362" spans="1:8">
      <c r="A362" s="4" t="s">
        <v>491</v>
      </c>
      <c r="C362" s="6"/>
      <c r="D362" s="12">
        <v>2.4500299999999999</v>
      </c>
      <c r="E362" s="12">
        <v>1.37262</v>
      </c>
      <c r="F362" s="12">
        <f t="shared" si="49"/>
        <v>1.7849295507860878</v>
      </c>
      <c r="G362" s="7">
        <f t="shared" si="48"/>
        <v>56.024620106692574</v>
      </c>
      <c r="H362" s="12">
        <f t="shared" si="50"/>
        <v>43.975379893307426</v>
      </c>
    </row>
    <row r="363" spans="1:8">
      <c r="A363" s="4" t="s">
        <v>492</v>
      </c>
      <c r="C363" s="6"/>
      <c r="D363" s="12">
        <v>3.4754299999999998</v>
      </c>
      <c r="E363" s="12">
        <v>1.95651</v>
      </c>
      <c r="F363" s="12">
        <f t="shared" si="49"/>
        <v>1.7763415469381705</v>
      </c>
      <c r="G363" s="7">
        <f t="shared" si="48"/>
        <v>56.295479983771799</v>
      </c>
      <c r="H363" s="12">
        <f t="shared" si="50"/>
        <v>43.704520016228201</v>
      </c>
    </row>
    <row r="364" spans="1:8">
      <c r="A364" s="4" t="s">
        <v>493</v>
      </c>
      <c r="C364" s="6"/>
      <c r="D364" s="12">
        <v>2.7313100000000001</v>
      </c>
      <c r="E364" s="12">
        <v>1.5461400000000001</v>
      </c>
      <c r="F364" s="12">
        <f t="shared" si="49"/>
        <v>1.7665347251865937</v>
      </c>
      <c r="G364" s="7">
        <f t="shared" si="48"/>
        <v>56.608001288758871</v>
      </c>
      <c r="H364" s="12">
        <f t="shared" si="50"/>
        <v>43.391998711241129</v>
      </c>
    </row>
    <row r="365" spans="1:8">
      <c r="A365" s="4" t="s">
        <v>494</v>
      </c>
      <c r="C365" s="6"/>
      <c r="D365" s="12">
        <v>2.8707799999999999</v>
      </c>
      <c r="E365" s="12">
        <v>1.62887</v>
      </c>
      <c r="F365" s="12">
        <f t="shared" si="49"/>
        <v>1.7624365357579179</v>
      </c>
      <c r="G365" s="7">
        <f t="shared" si="48"/>
        <v>56.739631737715882</v>
      </c>
      <c r="H365" s="12">
        <f t="shared" si="50"/>
        <v>43.260368262284118</v>
      </c>
    </row>
    <row r="366" spans="1:8">
      <c r="A366" s="4" t="s">
        <v>495</v>
      </c>
      <c r="C366" s="6"/>
      <c r="D366" s="12">
        <v>4.4133500000000003</v>
      </c>
      <c r="E366" s="12">
        <v>2.5224899999999999</v>
      </c>
      <c r="F366" s="12">
        <f t="shared" si="49"/>
        <v>1.7496005930647893</v>
      </c>
      <c r="G366" s="7">
        <f t="shared" si="48"/>
        <v>57.155901979222129</v>
      </c>
      <c r="H366" s="12">
        <f t="shared" si="50"/>
        <v>42.844098020777871</v>
      </c>
    </row>
    <row r="367" spans="1:8">
      <c r="A367" s="4" t="s">
        <v>496</v>
      </c>
      <c r="C367" s="6"/>
      <c r="D367" s="12">
        <v>1.9983900000000001</v>
      </c>
      <c r="E367" s="12">
        <v>1.14432</v>
      </c>
      <c r="F367" s="12">
        <f t="shared" si="49"/>
        <v>1.7463559144295302</v>
      </c>
      <c r="G367" s="7">
        <f t="shared" si="48"/>
        <v>57.262095987269753</v>
      </c>
      <c r="H367" s="12">
        <f t="shared" si="50"/>
        <v>42.737904012730247</v>
      </c>
    </row>
    <row r="368" spans="1:8">
      <c r="A368" s="4" t="s">
        <v>497</v>
      </c>
      <c r="C368" s="6"/>
      <c r="D368" s="12">
        <v>3.0895000000000001</v>
      </c>
      <c r="E368" s="12">
        <v>1.7800199999999999</v>
      </c>
      <c r="F368" s="12">
        <f t="shared" si="49"/>
        <v>1.735654655565668</v>
      </c>
      <c r="G368" s="7">
        <f t="shared" ref="G368:G391" si="51">E368*100/D368</f>
        <v>57.615148082213942</v>
      </c>
      <c r="H368" s="12">
        <f t="shared" si="50"/>
        <v>42.384851917786058</v>
      </c>
    </row>
    <row r="369" spans="1:8">
      <c r="A369" s="4" t="s">
        <v>629</v>
      </c>
      <c r="C369" s="6"/>
      <c r="D369" s="12">
        <v>2.5876899999999998</v>
      </c>
      <c r="E369" s="12">
        <v>1.4997199999999999</v>
      </c>
      <c r="F369" s="12">
        <f t="shared" si="49"/>
        <v>1.7254487504334142</v>
      </c>
      <c r="G369" s="7">
        <f t="shared" si="51"/>
        <v>57.955937535021576</v>
      </c>
      <c r="H369" s="12">
        <f t="shared" si="50"/>
        <v>42.044062464978424</v>
      </c>
    </row>
    <row r="370" spans="1:8">
      <c r="A370" s="4" t="s">
        <v>630</v>
      </c>
      <c r="C370" s="6"/>
      <c r="D370" s="12">
        <v>1.9313100000000001</v>
      </c>
      <c r="E370" s="12">
        <v>1.12192</v>
      </c>
      <c r="F370" s="12">
        <f t="shared" si="49"/>
        <v>1.7214329007415858</v>
      </c>
      <c r="G370" s="7">
        <f t="shared" si="51"/>
        <v>58.091140210530675</v>
      </c>
      <c r="H370" s="12">
        <f t="shared" si="50"/>
        <v>41.908859789469325</v>
      </c>
    </row>
    <row r="371" spans="1:8">
      <c r="A371" s="4" t="s">
        <v>631</v>
      </c>
      <c r="C371" s="6"/>
      <c r="D371" s="12">
        <v>4.2244900000000003</v>
      </c>
      <c r="E371" s="12">
        <v>2.4613</v>
      </c>
      <c r="F371" s="12">
        <f t="shared" si="49"/>
        <v>1.7163653353918662</v>
      </c>
      <c r="G371" s="7">
        <f t="shared" si="51"/>
        <v>58.262654190209936</v>
      </c>
      <c r="H371" s="12">
        <f t="shared" si="50"/>
        <v>41.737345809790064</v>
      </c>
    </row>
    <row r="372" spans="1:8">
      <c r="A372" s="4" t="s">
        <v>632</v>
      </c>
      <c r="C372" s="6"/>
      <c r="D372" s="12">
        <v>1.8696200000000001</v>
      </c>
      <c r="E372" s="12">
        <v>1.0899700000000001</v>
      </c>
      <c r="F372" s="12">
        <f t="shared" si="49"/>
        <v>1.7152949163738451</v>
      </c>
      <c r="G372" s="7">
        <f t="shared" si="51"/>
        <v>58.299012633583303</v>
      </c>
      <c r="H372" s="12">
        <f t="shared" si="50"/>
        <v>41.700987366416697</v>
      </c>
    </row>
    <row r="373" spans="1:8">
      <c r="A373" s="4" t="s">
        <v>633</v>
      </c>
      <c r="C373" s="6"/>
      <c r="D373" s="12">
        <v>1.98455</v>
      </c>
      <c r="E373" s="12">
        <v>1.1757899999999999</v>
      </c>
      <c r="F373" s="12">
        <f t="shared" si="49"/>
        <v>1.6878439177063933</v>
      </c>
      <c r="G373" s="7">
        <f t="shared" si="51"/>
        <v>59.247184500264538</v>
      </c>
      <c r="H373" s="12">
        <f t="shared" si="50"/>
        <v>40.752815499735462</v>
      </c>
    </row>
    <row r="374" spans="1:8">
      <c r="A374" s="4" t="s">
        <v>660</v>
      </c>
      <c r="C374" s="6"/>
      <c r="D374" s="12">
        <v>1.89018</v>
      </c>
      <c r="E374" s="12">
        <v>1.28311</v>
      </c>
      <c r="F374" s="12">
        <f t="shared" si="49"/>
        <v>1.4731238942880969</v>
      </c>
      <c r="G374" s="7">
        <f t="shared" si="51"/>
        <v>67.882952946280255</v>
      </c>
      <c r="H374" s="12">
        <f t="shared" si="50"/>
        <v>32.117047053719745</v>
      </c>
    </row>
    <row r="375" spans="1:8">
      <c r="A375" s="4" t="s">
        <v>661</v>
      </c>
      <c r="C375" s="6"/>
      <c r="D375" s="12">
        <v>1.90984</v>
      </c>
      <c r="E375" s="12">
        <v>1.3103400000000001</v>
      </c>
      <c r="F375" s="12">
        <f t="shared" si="49"/>
        <v>1.457514843475739</v>
      </c>
      <c r="G375" s="7">
        <f t="shared" si="51"/>
        <v>68.609935910861637</v>
      </c>
      <c r="H375" s="12">
        <f t="shared" si="50"/>
        <v>31.390064089138363</v>
      </c>
    </row>
    <row r="376" spans="1:8">
      <c r="A376" s="4" t="s">
        <v>634</v>
      </c>
      <c r="C376" s="6"/>
      <c r="D376" s="12">
        <v>2.2935599999999998</v>
      </c>
      <c r="E376" s="12">
        <v>1.3735299999999999</v>
      </c>
      <c r="F376" s="12">
        <f t="shared" si="49"/>
        <v>1.6698288351910771</v>
      </c>
      <c r="G376" s="7">
        <f t="shared" si="51"/>
        <v>59.886377509199669</v>
      </c>
      <c r="H376" s="12">
        <f t="shared" si="50"/>
        <v>40.113622490800331</v>
      </c>
    </row>
    <row r="377" spans="1:8">
      <c r="A377" s="4" t="s">
        <v>635</v>
      </c>
      <c r="C377" s="6"/>
      <c r="D377" s="12">
        <v>3.4960200000000001</v>
      </c>
      <c r="E377" s="12">
        <v>2.0952600000000001</v>
      </c>
      <c r="F377" s="12">
        <f t="shared" si="49"/>
        <v>1.668537556198276</v>
      </c>
      <c r="G377" s="7">
        <f t="shared" si="51"/>
        <v>59.932723497005163</v>
      </c>
      <c r="H377" s="12">
        <f t="shared" si="50"/>
        <v>40.067276502994837</v>
      </c>
    </row>
    <row r="378" spans="1:8">
      <c r="A378" s="4" t="s">
        <v>636</v>
      </c>
      <c r="C378" s="6"/>
      <c r="D378" s="12">
        <v>2.9595799999999999</v>
      </c>
      <c r="E378" s="12">
        <v>1.7926899999999999</v>
      </c>
      <c r="F378" s="12">
        <f t="shared" si="49"/>
        <v>1.6509156630538464</v>
      </c>
      <c r="G378" s="7">
        <f t="shared" si="51"/>
        <v>60.572446090323623</v>
      </c>
      <c r="H378" s="12">
        <f t="shared" si="50"/>
        <v>39.427553909676377</v>
      </c>
    </row>
    <row r="379" spans="1:8">
      <c r="A379" s="4" t="s">
        <v>637</v>
      </c>
      <c r="C379" s="6"/>
      <c r="D379" s="12">
        <v>1.9112499999999999</v>
      </c>
      <c r="E379" s="12">
        <v>1.1577200000000001</v>
      </c>
      <c r="F379" s="12">
        <f t="shared" ref="F379:F391" si="52">D379/E379</f>
        <v>1.6508741319144524</v>
      </c>
      <c r="G379" s="7">
        <f t="shared" si="51"/>
        <v>60.573969914977113</v>
      </c>
      <c r="H379" s="12">
        <f t="shared" si="50"/>
        <v>39.426030085022887</v>
      </c>
    </row>
    <row r="380" spans="1:8">
      <c r="A380" s="4" t="s">
        <v>638</v>
      </c>
      <c r="C380" s="6"/>
      <c r="D380" s="12">
        <v>1.7378</v>
      </c>
      <c r="E380" s="12">
        <v>1.0543100000000001</v>
      </c>
      <c r="F380" s="12">
        <f t="shared" si="52"/>
        <v>1.6482818146465459</v>
      </c>
      <c r="G380" s="7">
        <f t="shared" si="51"/>
        <v>60.669236966279207</v>
      </c>
      <c r="H380" s="12">
        <f t="shared" si="50"/>
        <v>39.330763033720793</v>
      </c>
    </row>
    <row r="381" spans="1:8">
      <c r="A381" s="4" t="s">
        <v>639</v>
      </c>
      <c r="C381" s="6"/>
      <c r="D381" s="12">
        <v>2.5676899999999998</v>
      </c>
      <c r="E381" s="12">
        <v>1.5617700000000001</v>
      </c>
      <c r="F381" s="12">
        <f t="shared" si="52"/>
        <v>1.6440897187165842</v>
      </c>
      <c r="G381" s="7">
        <f t="shared" si="51"/>
        <v>60.823931237805198</v>
      </c>
      <c r="H381" s="12">
        <f t="shared" si="50"/>
        <v>39.176068762194802</v>
      </c>
    </row>
    <row r="382" spans="1:8">
      <c r="A382" s="4" t="s">
        <v>640</v>
      </c>
      <c r="C382" s="6"/>
      <c r="D382" s="12">
        <v>2.61937</v>
      </c>
      <c r="E382" s="12">
        <v>1.59491</v>
      </c>
      <c r="F382" s="12">
        <f t="shared" si="52"/>
        <v>1.6423309152240564</v>
      </c>
      <c r="G382" s="7">
        <f t="shared" si="51"/>
        <v>60.889068745538054</v>
      </c>
      <c r="H382" s="12">
        <f t="shared" si="50"/>
        <v>39.110931254461946</v>
      </c>
    </row>
    <row r="383" spans="1:8">
      <c r="A383" s="4" t="s">
        <v>641</v>
      </c>
      <c r="C383" s="6"/>
      <c r="D383" s="12">
        <v>3.02481</v>
      </c>
      <c r="E383" s="12">
        <v>1.8514299999999999</v>
      </c>
      <c r="F383" s="12">
        <f t="shared" si="52"/>
        <v>1.6337695727086632</v>
      </c>
      <c r="G383" s="7">
        <f t="shared" si="51"/>
        <v>61.20814199900159</v>
      </c>
      <c r="H383" s="12">
        <f t="shared" si="50"/>
        <v>38.79185800099841</v>
      </c>
    </row>
    <row r="384" spans="1:8">
      <c r="A384" s="4" t="s">
        <v>662</v>
      </c>
      <c r="C384" s="6"/>
      <c r="D384" s="12">
        <v>1.52725</v>
      </c>
      <c r="E384" s="12">
        <v>1.0520099999999999</v>
      </c>
      <c r="F384" s="12">
        <f t="shared" si="52"/>
        <v>1.4517447552779918</v>
      </c>
      <c r="G384" s="7">
        <f t="shared" si="51"/>
        <v>68.882632182026512</v>
      </c>
      <c r="H384" s="12">
        <f t="shared" si="50"/>
        <v>31.117367817973488</v>
      </c>
    </row>
    <row r="385" spans="1:8">
      <c r="A385" s="4" t="s">
        <v>642</v>
      </c>
      <c r="C385" s="6"/>
      <c r="D385" s="12">
        <v>1.9052199999999999</v>
      </c>
      <c r="E385" s="12">
        <v>1.1798200000000001</v>
      </c>
      <c r="F385" s="12">
        <f t="shared" si="52"/>
        <v>1.6148395517960366</v>
      </c>
      <c r="G385" s="7">
        <f t="shared" si="51"/>
        <v>61.925656879520488</v>
      </c>
      <c r="H385" s="12">
        <f t="shared" si="50"/>
        <v>38.074343120479512</v>
      </c>
    </row>
    <row r="386" spans="1:8">
      <c r="A386" s="4" t="s">
        <v>663</v>
      </c>
      <c r="C386" s="6"/>
      <c r="D386" s="12">
        <v>4.3027199999999999</v>
      </c>
      <c r="E386" s="12">
        <v>2.9891899999999998</v>
      </c>
      <c r="F386" s="12">
        <f t="shared" si="52"/>
        <v>1.4394267343327123</v>
      </c>
      <c r="G386" s="7">
        <f t="shared" si="51"/>
        <v>69.472101368436711</v>
      </c>
      <c r="H386" s="12">
        <f t="shared" si="50"/>
        <v>30.527898631563289</v>
      </c>
    </row>
    <row r="387" spans="1:8">
      <c r="A387" s="4" t="s">
        <v>664</v>
      </c>
      <c r="C387" s="6"/>
      <c r="D387" s="12">
        <v>2.4954700000000001</v>
      </c>
      <c r="E387" s="12">
        <v>1.7359100000000001</v>
      </c>
      <c r="F387" s="12">
        <f t="shared" si="52"/>
        <v>1.4375572466314497</v>
      </c>
      <c r="G387" s="7">
        <f t="shared" si="51"/>
        <v>69.562447154243486</v>
      </c>
      <c r="H387" s="12">
        <f t="shared" si="50"/>
        <v>30.437552845756514</v>
      </c>
    </row>
    <row r="388" spans="1:8">
      <c r="A388" s="4" t="s">
        <v>715</v>
      </c>
      <c r="C388" s="6"/>
      <c r="D388" s="12">
        <v>1.6300399999999999</v>
      </c>
      <c r="E388" s="12">
        <v>1.04332</v>
      </c>
      <c r="F388" s="12">
        <f t="shared" si="52"/>
        <v>1.5623586243913659</v>
      </c>
      <c r="G388" s="7">
        <f t="shared" si="51"/>
        <v>64.005791268925918</v>
      </c>
      <c r="H388" s="12">
        <f t="shared" ref="H388:H419" si="53">100-G388</f>
        <v>35.994208731074082</v>
      </c>
    </row>
    <row r="389" spans="1:8">
      <c r="A389" s="4" t="s">
        <v>643</v>
      </c>
      <c r="C389" s="6"/>
      <c r="D389" s="12">
        <v>3.53302</v>
      </c>
      <c r="E389" s="12">
        <v>2.2681800000000001</v>
      </c>
      <c r="F389" s="12">
        <f t="shared" si="52"/>
        <v>1.5576453367898491</v>
      </c>
      <c r="G389" s="7">
        <f t="shared" si="51"/>
        <v>64.199466745164202</v>
      </c>
      <c r="H389" s="12">
        <f t="shared" si="53"/>
        <v>35.800533254835798</v>
      </c>
    </row>
    <row r="390" spans="1:8">
      <c r="A390" s="4" t="s">
        <v>632</v>
      </c>
      <c r="C390" s="6"/>
      <c r="D390" s="12">
        <v>2.1341600000000001</v>
      </c>
      <c r="E390" s="12">
        <v>1.3714200000000001</v>
      </c>
      <c r="F390" s="12">
        <f t="shared" si="52"/>
        <v>1.5561680593837044</v>
      </c>
      <c r="G390" s="7">
        <f t="shared" si="51"/>
        <v>64.260411590508667</v>
      </c>
      <c r="H390" s="12">
        <f t="shared" si="53"/>
        <v>35.739588409491333</v>
      </c>
    </row>
    <row r="391" spans="1:8">
      <c r="A391" s="4" t="s">
        <v>644</v>
      </c>
      <c r="C391" s="6"/>
      <c r="D391" s="12">
        <v>3.4356300000000002</v>
      </c>
      <c r="E391" s="12">
        <v>2.2120600000000001</v>
      </c>
      <c r="F391" s="12">
        <f t="shared" si="52"/>
        <v>1.5531359908863231</v>
      </c>
      <c r="G391" s="7">
        <f t="shared" si="51"/>
        <v>64.385862272712714</v>
      </c>
      <c r="H391" s="12">
        <f t="shared" si="53"/>
        <v>35.614137727287286</v>
      </c>
    </row>
    <row r="392" spans="1:8">
      <c r="A392" s="4" t="s">
        <v>645</v>
      </c>
      <c r="C392" s="6"/>
      <c r="D392" s="12">
        <v>1.6456200000000001</v>
      </c>
      <c r="E392" s="12">
        <v>1.06226</v>
      </c>
      <c r="F392" s="12">
        <f t="shared" ref="F392:F430" si="54">D392/E392</f>
        <v>1.5491687534125356</v>
      </c>
      <c r="G392" s="7">
        <f t="shared" ref="G392:G430" si="55">E392*100/D392</f>
        <v>64.550746830981637</v>
      </c>
      <c r="H392" s="12">
        <f t="shared" si="53"/>
        <v>35.449253169018363</v>
      </c>
    </row>
    <row r="393" spans="1:8">
      <c r="A393" s="4" t="s">
        <v>646</v>
      </c>
      <c r="C393" s="6"/>
      <c r="D393" s="12">
        <v>2.8293400000000002</v>
      </c>
      <c r="E393" s="12">
        <v>1.83084</v>
      </c>
      <c r="F393" s="12">
        <f t="shared" si="54"/>
        <v>1.5453780778222019</v>
      </c>
      <c r="G393" s="7">
        <f t="shared" si="55"/>
        <v>64.709084097351322</v>
      </c>
      <c r="H393" s="12">
        <f t="shared" si="53"/>
        <v>35.290915902648678</v>
      </c>
    </row>
    <row r="394" spans="1:8">
      <c r="A394" s="4" t="s">
        <v>647</v>
      </c>
      <c r="C394" s="6"/>
      <c r="D394" s="12">
        <v>2.8148399999999998</v>
      </c>
      <c r="E394" s="12">
        <v>1.82857</v>
      </c>
      <c r="F394" s="12">
        <f t="shared" si="54"/>
        <v>1.5393668276303341</v>
      </c>
      <c r="G394" s="7">
        <f t="shared" si="55"/>
        <v>64.961774026232405</v>
      </c>
      <c r="H394" s="12">
        <f t="shared" si="53"/>
        <v>35.038225973767595</v>
      </c>
    </row>
    <row r="395" spans="1:8">
      <c r="A395" s="4" t="s">
        <v>648</v>
      </c>
      <c r="C395" s="6"/>
      <c r="D395" s="12">
        <v>2.8853300000000002</v>
      </c>
      <c r="E395" s="12">
        <v>1.8748100000000001</v>
      </c>
      <c r="F395" s="12">
        <f t="shared" si="54"/>
        <v>1.5389986185266773</v>
      </c>
      <c r="G395" s="7">
        <f t="shared" si="55"/>
        <v>64.977316286178691</v>
      </c>
      <c r="H395" s="12">
        <f t="shared" si="53"/>
        <v>35.022683713821309</v>
      </c>
    </row>
    <row r="396" spans="1:8">
      <c r="A396" s="4" t="s">
        <v>649</v>
      </c>
      <c r="C396" s="6"/>
      <c r="D396" s="12">
        <v>1.77525</v>
      </c>
      <c r="E396" s="12">
        <v>1.1551899999999999</v>
      </c>
      <c r="F396" s="12">
        <f t="shared" si="54"/>
        <v>1.5367601866359648</v>
      </c>
      <c r="G396" s="7">
        <f t="shared" si="55"/>
        <v>65.071961695535833</v>
      </c>
      <c r="H396" s="12">
        <f t="shared" si="53"/>
        <v>34.928038304464167</v>
      </c>
    </row>
    <row r="397" spans="1:8">
      <c r="A397" s="4" t="s">
        <v>650</v>
      </c>
      <c r="C397" s="6"/>
      <c r="D397" s="12">
        <v>1.7452300000000001</v>
      </c>
      <c r="E397" s="12">
        <v>1.1400699999999999</v>
      </c>
      <c r="F397" s="12">
        <f t="shared" si="54"/>
        <v>1.5308095116966505</v>
      </c>
      <c r="G397" s="7">
        <f t="shared" si="55"/>
        <v>65.324914194690663</v>
      </c>
      <c r="H397" s="12">
        <f t="shared" si="53"/>
        <v>34.675085805309337</v>
      </c>
    </row>
    <row r="398" spans="1:8">
      <c r="A398" s="4" t="s">
        <v>651</v>
      </c>
      <c r="C398" s="6"/>
      <c r="D398" s="12">
        <v>1.7801499999999999</v>
      </c>
      <c r="E398" s="12">
        <v>1.1652</v>
      </c>
      <c r="F398" s="12">
        <f t="shared" si="54"/>
        <v>1.5277634740817025</v>
      </c>
      <c r="G398" s="7">
        <f t="shared" si="55"/>
        <v>65.455158273179222</v>
      </c>
      <c r="H398" s="12">
        <f t="shared" si="53"/>
        <v>34.544841726820778</v>
      </c>
    </row>
    <row r="399" spans="1:8">
      <c r="A399" s="4" t="s">
        <v>652</v>
      </c>
      <c r="C399" s="6"/>
      <c r="D399" s="12">
        <v>3.47119</v>
      </c>
      <c r="E399" s="12">
        <v>2.2772999999999999</v>
      </c>
      <c r="F399" s="12">
        <f t="shared" si="54"/>
        <v>1.5242567953278006</v>
      </c>
      <c r="G399" s="7">
        <f t="shared" si="55"/>
        <v>65.605743275360894</v>
      </c>
      <c r="H399" s="12">
        <f t="shared" si="53"/>
        <v>34.394256724639106</v>
      </c>
    </row>
    <row r="400" spans="1:8">
      <c r="A400" s="4" t="s">
        <v>653</v>
      </c>
      <c r="C400" s="6"/>
      <c r="D400" s="12">
        <v>1.8376600000000001</v>
      </c>
      <c r="E400" s="12">
        <v>1.2116800000000001</v>
      </c>
      <c r="F400" s="12">
        <f t="shared" si="54"/>
        <v>1.5166215502442888</v>
      </c>
      <c r="G400" s="7">
        <f t="shared" si="55"/>
        <v>65.936027339116052</v>
      </c>
      <c r="H400" s="12">
        <f t="shared" si="53"/>
        <v>34.063972660883948</v>
      </c>
    </row>
    <row r="401" spans="1:8">
      <c r="A401" s="4" t="s">
        <v>654</v>
      </c>
      <c r="C401" s="6"/>
      <c r="D401" s="12">
        <v>1.70648</v>
      </c>
      <c r="E401" s="12">
        <v>1.1269800000000001</v>
      </c>
      <c r="F401" s="12">
        <f t="shared" si="54"/>
        <v>1.5142061083603966</v>
      </c>
      <c r="G401" s="7">
        <f t="shared" si="55"/>
        <v>66.041207632084763</v>
      </c>
      <c r="H401" s="12">
        <f t="shared" si="53"/>
        <v>33.958792367915237</v>
      </c>
    </row>
    <row r="402" spans="1:8">
      <c r="A402" s="4" t="s">
        <v>655</v>
      </c>
      <c r="C402" s="6"/>
      <c r="D402" s="12">
        <v>2.4416500000000001</v>
      </c>
      <c r="E402" s="12">
        <v>1.6165499999999999</v>
      </c>
      <c r="F402" s="12">
        <f t="shared" si="54"/>
        <v>1.5104079675852897</v>
      </c>
      <c r="G402" s="7">
        <f t="shared" si="55"/>
        <v>66.207277865377918</v>
      </c>
      <c r="H402" s="12">
        <f t="shared" si="53"/>
        <v>33.792722134622082</v>
      </c>
    </row>
    <row r="403" spans="1:8">
      <c r="A403" s="4" t="s">
        <v>656</v>
      </c>
      <c r="C403" s="6"/>
      <c r="D403" s="12">
        <v>1.71302</v>
      </c>
      <c r="E403" s="12">
        <v>1.1375999999999999</v>
      </c>
      <c r="F403" s="12">
        <f t="shared" si="54"/>
        <v>1.5058192686357244</v>
      </c>
      <c r="G403" s="7">
        <f t="shared" si="55"/>
        <v>66.40903200196145</v>
      </c>
      <c r="H403" s="12">
        <f t="shared" si="53"/>
        <v>33.59096799803855</v>
      </c>
    </row>
    <row r="404" spans="1:8">
      <c r="A404" s="4" t="s">
        <v>657</v>
      </c>
      <c r="C404" s="6"/>
      <c r="D404" s="12">
        <v>2.3815599999999999</v>
      </c>
      <c r="E404" s="12">
        <v>1.5916699999999999</v>
      </c>
      <c r="F404" s="12">
        <f t="shared" si="54"/>
        <v>1.4962649292881063</v>
      </c>
      <c r="G404" s="7">
        <f t="shared" si="55"/>
        <v>66.833084196912949</v>
      </c>
      <c r="H404" s="12">
        <f t="shared" si="53"/>
        <v>33.166915803087051</v>
      </c>
    </row>
    <row r="405" spans="1:8">
      <c r="A405" s="4" t="s">
        <v>658</v>
      </c>
      <c r="C405" s="6"/>
      <c r="D405" s="12">
        <v>1.5581400000000001</v>
      </c>
      <c r="E405" s="12">
        <v>1.0426299999999999</v>
      </c>
      <c r="F405" s="12">
        <f t="shared" si="54"/>
        <v>1.4944323489636786</v>
      </c>
      <c r="G405" s="7">
        <f t="shared" si="55"/>
        <v>66.915039726853806</v>
      </c>
      <c r="H405" s="12">
        <f t="shared" si="53"/>
        <v>33.084960273146194</v>
      </c>
    </row>
    <row r="406" spans="1:8">
      <c r="A406" s="4" t="s">
        <v>659</v>
      </c>
      <c r="C406" s="6"/>
      <c r="D406" s="12">
        <v>1.74892</v>
      </c>
      <c r="E406" s="12">
        <v>1.1713</v>
      </c>
      <c r="F406" s="12">
        <f t="shared" si="54"/>
        <v>1.4931443695039699</v>
      </c>
      <c r="G406" s="7">
        <f t="shared" si="55"/>
        <v>66.972760332090658</v>
      </c>
      <c r="H406" s="12">
        <f t="shared" si="53"/>
        <v>33.027239667909342</v>
      </c>
    </row>
    <row r="407" spans="1:8">
      <c r="A407" s="4" t="s">
        <v>665</v>
      </c>
      <c r="C407" s="6"/>
      <c r="D407" s="12">
        <v>1.72773</v>
      </c>
      <c r="E407" s="12">
        <v>1.20313</v>
      </c>
      <c r="F407" s="12">
        <f t="shared" si="54"/>
        <v>1.4360293567611147</v>
      </c>
      <c r="G407" s="7">
        <f t="shared" si="55"/>
        <v>69.636459400485037</v>
      </c>
      <c r="H407" s="12">
        <f t="shared" si="53"/>
        <v>30.363540599514963</v>
      </c>
    </row>
    <row r="408" spans="1:8">
      <c r="A408" s="4" t="s">
        <v>742</v>
      </c>
      <c r="C408" s="6"/>
      <c r="D408" s="12">
        <v>1.99333</v>
      </c>
      <c r="E408" s="12">
        <v>1.3884700000000001</v>
      </c>
      <c r="F408" s="12">
        <f t="shared" si="54"/>
        <v>1.4356305861847933</v>
      </c>
      <c r="G408" s="7">
        <f t="shared" si="55"/>
        <v>69.655802100003513</v>
      </c>
      <c r="H408" s="12">
        <f t="shared" si="53"/>
        <v>30.344197899996487</v>
      </c>
    </row>
    <row r="409" spans="1:8">
      <c r="A409" s="4" t="s">
        <v>743</v>
      </c>
      <c r="C409" s="6"/>
      <c r="D409" s="12">
        <v>1.6067899999999999</v>
      </c>
      <c r="E409" s="12">
        <v>1.1203700000000001</v>
      </c>
      <c r="F409" s="12">
        <f t="shared" si="54"/>
        <v>1.4341601435240143</v>
      </c>
      <c r="G409" s="7">
        <f t="shared" si="55"/>
        <v>69.72722010965964</v>
      </c>
      <c r="H409" s="12">
        <f t="shared" si="53"/>
        <v>30.27277989034036</v>
      </c>
    </row>
    <row r="410" spans="1:8">
      <c r="A410" s="4" t="s">
        <v>520</v>
      </c>
      <c r="C410" s="6"/>
      <c r="D410" s="12">
        <v>2.3648799999999999</v>
      </c>
      <c r="E410" s="12">
        <v>1.65422</v>
      </c>
      <c r="F410" s="12">
        <f t="shared" si="54"/>
        <v>1.4296042847988779</v>
      </c>
      <c r="G410" s="7">
        <f t="shared" si="55"/>
        <v>69.949426609383991</v>
      </c>
      <c r="H410" s="12">
        <f t="shared" si="53"/>
        <v>30.050573390616009</v>
      </c>
    </row>
    <row r="411" spans="1:8">
      <c r="A411" s="4" t="s">
        <v>521</v>
      </c>
      <c r="C411" s="6"/>
      <c r="D411" s="12">
        <v>1.9005000000000001</v>
      </c>
      <c r="E411" s="12">
        <v>1.33273</v>
      </c>
      <c r="F411" s="12">
        <f t="shared" si="54"/>
        <v>1.426020274174064</v>
      </c>
      <c r="G411" s="7">
        <f t="shared" si="55"/>
        <v>70.125230202578265</v>
      </c>
      <c r="H411" s="12">
        <f t="shared" si="53"/>
        <v>29.874769797421735</v>
      </c>
    </row>
    <row r="412" spans="1:8">
      <c r="A412" s="4" t="s">
        <v>646</v>
      </c>
      <c r="C412" s="6"/>
      <c r="D412" s="12">
        <v>3.3158300000000001</v>
      </c>
      <c r="E412" s="12">
        <v>2.3373599999999999</v>
      </c>
      <c r="F412" s="12">
        <f t="shared" si="54"/>
        <v>1.4186218639832975</v>
      </c>
      <c r="G412" s="7">
        <f t="shared" si="55"/>
        <v>70.490947967778808</v>
      </c>
      <c r="H412" s="12">
        <f t="shared" si="53"/>
        <v>29.509052032221192</v>
      </c>
    </row>
    <row r="413" spans="1:8">
      <c r="A413" s="4" t="s">
        <v>640</v>
      </c>
      <c r="C413" s="6"/>
      <c r="D413" s="12">
        <v>2.1562000000000001</v>
      </c>
      <c r="E413" s="12">
        <v>1.53037</v>
      </c>
      <c r="F413" s="12">
        <f t="shared" si="54"/>
        <v>1.4089403216215688</v>
      </c>
      <c r="G413" s="7">
        <f t="shared" si="55"/>
        <v>70.975326964103516</v>
      </c>
      <c r="H413" s="12">
        <f t="shared" si="53"/>
        <v>29.024673035896484</v>
      </c>
    </row>
    <row r="414" spans="1:8">
      <c r="A414" s="4" t="s">
        <v>522</v>
      </c>
      <c r="C414" s="6"/>
      <c r="D414" s="12">
        <v>2.3512200000000001</v>
      </c>
      <c r="E414" s="12">
        <v>1.6790799999999999</v>
      </c>
      <c r="F414" s="12">
        <f t="shared" si="54"/>
        <v>1.4003025466326799</v>
      </c>
      <c r="G414" s="7">
        <f t="shared" si="55"/>
        <v>71.413138710967061</v>
      </c>
      <c r="H414" s="12">
        <f t="shared" si="53"/>
        <v>28.586861289032939</v>
      </c>
    </row>
    <row r="415" spans="1:8">
      <c r="A415" s="4" t="s">
        <v>523</v>
      </c>
      <c r="C415" s="6"/>
      <c r="D415" s="12">
        <v>2.3505799999999999</v>
      </c>
      <c r="E415" s="12">
        <v>1.68327</v>
      </c>
      <c r="F415" s="12">
        <f t="shared" si="54"/>
        <v>1.3964366976183262</v>
      </c>
      <c r="G415" s="7">
        <f t="shared" si="55"/>
        <v>71.610836474402063</v>
      </c>
      <c r="H415" s="12">
        <f t="shared" si="53"/>
        <v>28.389163525597937</v>
      </c>
    </row>
    <row r="416" spans="1:8">
      <c r="A416" s="4" t="s">
        <v>524</v>
      </c>
      <c r="C416" s="6"/>
      <c r="D416" s="12">
        <v>2.5633400000000002</v>
      </c>
      <c r="E416" s="12">
        <v>1.83578</v>
      </c>
      <c r="F416" s="12">
        <f t="shared" si="54"/>
        <v>1.3963219993681162</v>
      </c>
      <c r="G416" s="7">
        <f t="shared" si="55"/>
        <v>71.616718812174739</v>
      </c>
      <c r="H416" s="12">
        <f t="shared" si="53"/>
        <v>28.383281187825261</v>
      </c>
    </row>
    <row r="417" spans="1:8">
      <c r="A417" s="4" t="s">
        <v>525</v>
      </c>
      <c r="C417" s="6"/>
      <c r="D417" s="12">
        <v>1.7855000000000001</v>
      </c>
      <c r="E417" s="12">
        <v>1.28227</v>
      </c>
      <c r="F417" s="12">
        <f t="shared" si="54"/>
        <v>1.3924524476124374</v>
      </c>
      <c r="G417" s="7">
        <f t="shared" si="55"/>
        <v>71.815737888546622</v>
      </c>
      <c r="H417" s="12">
        <f t="shared" si="53"/>
        <v>28.184262111453378</v>
      </c>
    </row>
    <row r="418" spans="1:8">
      <c r="A418" s="4" t="s">
        <v>526</v>
      </c>
      <c r="C418" s="6"/>
      <c r="D418" s="12">
        <v>9.3781599999999994</v>
      </c>
      <c r="E418" s="12">
        <v>6.7384700000000004</v>
      </c>
      <c r="F418" s="12">
        <f t="shared" si="54"/>
        <v>1.3917343254477648</v>
      </c>
      <c r="G418" s="7">
        <f t="shared" si="55"/>
        <v>71.852794151518012</v>
      </c>
      <c r="H418" s="12">
        <f t="shared" si="53"/>
        <v>28.147205848481988</v>
      </c>
    </row>
    <row r="419" spans="1:8">
      <c r="A419" s="4" t="s">
        <v>527</v>
      </c>
      <c r="D419" s="12">
        <v>5.6814999999999998</v>
      </c>
      <c r="E419" s="12">
        <v>4.0872799999999998</v>
      </c>
      <c r="F419" s="12">
        <f t="shared" si="54"/>
        <v>1.3900442347967352</v>
      </c>
      <c r="G419" s="7">
        <f t="shared" si="55"/>
        <v>71.94015664877233</v>
      </c>
      <c r="H419" s="12">
        <f t="shared" si="53"/>
        <v>28.05984335122767</v>
      </c>
    </row>
    <row r="420" spans="1:8">
      <c r="A420" s="4" t="s">
        <v>528</v>
      </c>
      <c r="C420" s="6"/>
      <c r="D420" s="12">
        <v>2.3059799999999999</v>
      </c>
      <c r="E420" s="12">
        <v>1.6600200000000001</v>
      </c>
      <c r="F420" s="12">
        <f t="shared" si="54"/>
        <v>1.3891278418332309</v>
      </c>
      <c r="G420" s="7">
        <f t="shared" si="55"/>
        <v>71.987614810189172</v>
      </c>
      <c r="H420" s="12">
        <f t="shared" ref="H420:H430" si="56">100-G420</f>
        <v>28.012385189810828</v>
      </c>
    </row>
    <row r="421" spans="1:8">
      <c r="A421" s="4" t="s">
        <v>520</v>
      </c>
      <c r="C421" s="6"/>
      <c r="D421" s="12">
        <v>2.3740999999999999</v>
      </c>
      <c r="E421" s="12">
        <v>1.71221</v>
      </c>
      <c r="F421" s="12">
        <f t="shared" si="54"/>
        <v>1.3865705725349109</v>
      </c>
      <c r="G421" s="7">
        <f t="shared" si="55"/>
        <v>72.12038246072197</v>
      </c>
      <c r="H421" s="12">
        <f t="shared" si="56"/>
        <v>27.87961753927803</v>
      </c>
    </row>
    <row r="422" spans="1:8">
      <c r="A422" s="4" t="s">
        <v>529</v>
      </c>
      <c r="C422" s="6"/>
      <c r="D422" s="12">
        <v>3.56853</v>
      </c>
      <c r="E422" s="12">
        <v>2.5737000000000001</v>
      </c>
      <c r="F422" s="12">
        <f t="shared" si="54"/>
        <v>1.386536892411703</v>
      </c>
      <c r="G422" s="7">
        <f t="shared" si="55"/>
        <v>72.122134324217541</v>
      </c>
      <c r="H422" s="12">
        <f t="shared" si="56"/>
        <v>27.877865675782459</v>
      </c>
    </row>
    <row r="423" spans="1:8">
      <c r="A423" s="4" t="s">
        <v>610</v>
      </c>
      <c r="C423" s="6"/>
      <c r="D423" s="12">
        <v>1.95044</v>
      </c>
      <c r="E423" s="12">
        <v>1.41652</v>
      </c>
      <c r="F423" s="12">
        <f t="shared" si="54"/>
        <v>1.3769237285742524</v>
      </c>
      <c r="G423" s="7">
        <f t="shared" si="55"/>
        <v>72.625663952749122</v>
      </c>
      <c r="H423" s="12">
        <f t="shared" si="56"/>
        <v>27.374336047250878</v>
      </c>
    </row>
    <row r="424" spans="1:8">
      <c r="A424" s="4" t="s">
        <v>611</v>
      </c>
      <c r="C424" s="6"/>
      <c r="D424" s="12">
        <v>2.2531400000000001</v>
      </c>
      <c r="E424" s="12">
        <v>1.64036</v>
      </c>
      <c r="F424" s="12">
        <f t="shared" si="54"/>
        <v>1.3735643395352239</v>
      </c>
      <c r="G424" s="7">
        <f t="shared" si="55"/>
        <v>72.803287856058645</v>
      </c>
      <c r="H424" s="12">
        <f t="shared" si="56"/>
        <v>27.196712143941355</v>
      </c>
    </row>
    <row r="425" spans="1:8">
      <c r="A425" s="4" t="s">
        <v>612</v>
      </c>
      <c r="C425" s="6"/>
      <c r="D425" s="12">
        <v>1.7396199999999999</v>
      </c>
      <c r="E425" s="12">
        <v>1.29101</v>
      </c>
      <c r="F425" s="12">
        <f t="shared" si="54"/>
        <v>1.3474876259672659</v>
      </c>
      <c r="G425" s="7">
        <f t="shared" si="55"/>
        <v>74.212184270127963</v>
      </c>
      <c r="H425" s="12">
        <f t="shared" si="56"/>
        <v>25.787815729872037</v>
      </c>
    </row>
    <row r="426" spans="1:8">
      <c r="A426" s="4" t="s">
        <v>613</v>
      </c>
      <c r="C426" s="6"/>
      <c r="D426" s="12">
        <v>1.92628</v>
      </c>
      <c r="E426" s="12">
        <v>1.43041</v>
      </c>
      <c r="F426" s="12">
        <f t="shared" si="54"/>
        <v>1.3466628449185898</v>
      </c>
      <c r="G426" s="7">
        <f t="shared" si="55"/>
        <v>74.257636480677775</v>
      </c>
      <c r="H426" s="12">
        <f t="shared" si="56"/>
        <v>25.742363519322225</v>
      </c>
    </row>
    <row r="427" spans="1:8">
      <c r="A427" s="4" t="s">
        <v>614</v>
      </c>
      <c r="C427" s="6"/>
      <c r="D427" s="12">
        <v>1.4246099999999999</v>
      </c>
      <c r="E427" s="12">
        <v>1.0592299999999999</v>
      </c>
      <c r="F427" s="12">
        <f t="shared" si="54"/>
        <v>1.3449486891421127</v>
      </c>
      <c r="G427" s="7">
        <f t="shared" si="55"/>
        <v>74.35227886930457</v>
      </c>
      <c r="H427" s="12">
        <f t="shared" si="56"/>
        <v>25.64772113069543</v>
      </c>
    </row>
    <row r="428" spans="1:8">
      <c r="A428" s="4" t="s">
        <v>615</v>
      </c>
      <c r="C428" s="6"/>
      <c r="D428" s="12">
        <v>4.2808000000000002</v>
      </c>
      <c r="E428" s="12">
        <v>3.18424</v>
      </c>
      <c r="F428" s="12">
        <f t="shared" si="54"/>
        <v>1.3443710273094993</v>
      </c>
      <c r="G428" s="7">
        <f t="shared" si="55"/>
        <v>74.384227247243501</v>
      </c>
      <c r="H428" s="12">
        <f t="shared" si="56"/>
        <v>25.615772752756499</v>
      </c>
    </row>
    <row r="429" spans="1:8">
      <c r="A429" s="4" t="s">
        <v>616</v>
      </c>
      <c r="C429" s="6"/>
      <c r="D429" s="12">
        <v>1.9209099999999999</v>
      </c>
      <c r="E429" s="12">
        <v>1.4303900000000001</v>
      </c>
      <c r="F429" s="12">
        <f t="shared" si="54"/>
        <v>1.3429274533518829</v>
      </c>
      <c r="G429" s="7">
        <f t="shared" si="55"/>
        <v>74.464186245060944</v>
      </c>
      <c r="H429" s="12">
        <f t="shared" si="56"/>
        <v>25.535813754939056</v>
      </c>
    </row>
    <row r="430" spans="1:8">
      <c r="A430" s="4" t="s">
        <v>617</v>
      </c>
      <c r="C430" s="6"/>
      <c r="D430" s="12">
        <v>2.5503300000000002</v>
      </c>
      <c r="E430" s="12">
        <v>1.9111899999999999</v>
      </c>
      <c r="F430" s="12">
        <f t="shared" si="54"/>
        <v>1.3344199163871726</v>
      </c>
      <c r="G430" s="7">
        <f t="shared" si="55"/>
        <v>74.938929471872257</v>
      </c>
      <c r="H430" s="12">
        <f t="shared" si="56"/>
        <v>25.061070528127743</v>
      </c>
    </row>
  </sheetData>
  <phoneticPr fontId="1" type="noConversion"/>
  <hyperlinks>
    <hyperlink ref="C37" r:id="rId1"/>
    <hyperlink ref="C38" r:id="rId2"/>
    <hyperlink ref="C60" r:id="rId3"/>
    <hyperlink ref="C129" r:id="rId4"/>
    <hyperlink ref="C152" r:id="rId5"/>
    <hyperlink ref="C150" r:id="rId6"/>
    <hyperlink ref="C219" r:id="rId7"/>
    <hyperlink ref="A223" r:id="rId8"/>
    <hyperlink ref="C232" r:id="rId9"/>
    <hyperlink ref="C175" r:id="rId10"/>
    <hyperlink ref="C234" r:id="rId11"/>
    <hyperlink ref="C246" r:id="rId12"/>
    <hyperlink ref="C102" r:id="rId13"/>
  </hyperlinks>
  <pageMargins left="0" right="0" top="0.5" bottom="1" header="0" footer="0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MSKCC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MSKCC</dc:creator>
  <cp:lastModifiedBy>Cole Haynes</cp:lastModifiedBy>
  <cp:lastPrinted>2011-08-29T14:39:19Z</cp:lastPrinted>
  <dcterms:created xsi:type="dcterms:W3CDTF">2011-05-02T16:54:25Z</dcterms:created>
  <dcterms:modified xsi:type="dcterms:W3CDTF">2012-05-24T16:18:20Z</dcterms:modified>
</cp:coreProperties>
</file>